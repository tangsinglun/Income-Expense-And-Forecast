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0082A69E-2B60-7F4D-8759-A9F34D1F6622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2" i="2" l="1"/>
  <c r="C6" i="2"/>
  <c r="C63" i="3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5" i="2"/>
  <c r="C69" i="2"/>
  <c r="C65" i="2"/>
  <c r="C57" i="2"/>
  <c r="C54" i="2"/>
  <c r="C51" i="2"/>
  <c r="C47" i="2"/>
  <c r="C40" i="2"/>
  <c r="E24" i="2"/>
  <c r="E15" i="2"/>
  <c r="C5" i="2"/>
  <c r="C8" i="3" l="1"/>
  <c r="C64" i="3"/>
  <c r="E94" i="3" s="1"/>
  <c r="E84" i="3"/>
  <c r="C70" i="2"/>
  <c r="E79" i="2" s="1"/>
  <c r="E80" i="2" s="1"/>
  <c r="E84" i="2" s="1"/>
  <c r="E73" i="3" l="1"/>
  <c r="E90" i="2"/>
  <c r="E91" i="2" s="1"/>
  <c r="E96" i="2" s="1"/>
  <c r="E101" i="2"/>
  <c r="E102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<sst xmlns="http://schemas.openxmlformats.org/spreadsheetml/2006/main" count="419" uniqueCount="175">
  <si>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</si>
  <si>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</si>
  <si>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</si>
  <si>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</si>
  <si>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</si>
  <si>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</si>
  <si>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</si>
  <si>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</si>
  <si>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</si>
  <si>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</si>
  <si>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</si>
  <si>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</si>
  <si>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</si>
  <si>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</si>
  <si>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</si>
  <si>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</si>
  <si>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</si>
  <si>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</si>
  <si>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</si>
  <si>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</si>
  <si>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</si>
  <si>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</si>
  <si>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</si>
  <si>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</si>
  <si>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</si>
  <si>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</si>
  <si>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</si>
  <si>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</si>
  <si>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</si>
  <si>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</si>
  <si>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</si>
  <si>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</si>
  <si>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</si>
  <si>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</si>
  <si>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</si>
  <si>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</si>
  <si>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</si>
  <si>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</si>
  <si>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</si>
  <si>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</si>
  <si>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</si>
  <si>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</si>
  <si>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</si>
  <si>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</si>
  <si>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</si>
  <si>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</si>
  <si>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</si>
  <si>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</si>
  <si>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</si>
  <si>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</si>
  <si>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</si>
  <si>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</si>
  <si>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</si>
  <si>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</si>
  <si>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</si>
  <si>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</si>
  <si>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</si>
  <si>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</si>
  <si>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</si>
  <si>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</si>
  <si>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</si>
  <si>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</si>
  <si>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</si>
  <si>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</si>
  <si>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</si>
  <si>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</si>
  <si>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</si>
  <si>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</si>
  <si>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</si>
  <si>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</si>
  <si>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</si>
  <si>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</si>
  <si>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</si>
  <si>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</si>
  <si>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</si>
  <si>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</si>
  <si>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</si>
  <si>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</si>
  <si>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</si>
  <si>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</si>
  <si>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</si>
  <si>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</si>
  <si>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</si>
  <si>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</si>
  <si>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</si>
  <si>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</si>
  <si>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</si>
  <si>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</si>
  <si>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</si>
  <si>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</si>
  <si>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</si>
  <si>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</si>
  <si>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</si>
  <si>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</si>
  <si>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</si>
  <si>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</si>
  <si>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</si>
  <si>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</si>
  <si>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</si>
  <si>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</si>
  <si>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</si>
  <si>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</si>
  <si>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</si>
  <si>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</si>
  <si>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</si>
  <si>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</si>
  <si>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</si>
  <si>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</si>
  <si>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</si>
  <si>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</si>
  <si>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</si>
  <si>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</si>
  <si>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</si>
  <si>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</si>
  <si>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</si>
  <si>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</si>
  <si>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</si>
  <si>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</si>
  <si>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</si>
  <si>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</si>
  <si>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</si>
  <si>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</si>
  <si>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</si>
  <si>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</si>
  <si>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</si>
  <si>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</si>
  <si>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</si>
  <si>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</si>
  <si>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</si>
  <si>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</si>
  <si>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</si>
  <si>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</si>
  <si>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</si>
  <si>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</si>
  <si>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</si>
  <si>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</si>
  <si>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</si>
  <si>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</si>
  <si>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</si>
  <si>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</si>
  <si>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</si>
  <si>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</si>
  <si>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</si>
  <si>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</si>
  <si>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</si>
  <si>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</si>
  <si>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</si>
  <si>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</si>
  <si>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</si>
  <si>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</si>
  <si>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</si>
  <si>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</si>
  <si>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</si>
  <si>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</si>
  <si>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</si>
  <si>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</si>
  <si>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</si>
  <si>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</si>
  <si>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</si>
  <si>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</si>
  <si>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</si>
  <si>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</si>
  <si>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</si>
  <si>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</si>
  <si>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</si>
  <si>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</si>
  <si>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1. Borrow $60
2. Payback Water bill through Alipay $74.1.
3. Borrow $100 ~ 16/09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</si>
  <si>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</si>
  <si>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21st September 2026</t>
  </si>
  <si>
    <t>1. A gift for birthday $500 from Mother.</t>
  </si>
  <si>
    <t>1. Top up $50 for Octopus 18/09
2. Top up $50 for Octopus 18/09
3. Top up $50 for Octopus 26/09</t>
  </si>
  <si>
    <t>~ Payback $250 to Lawrence
~ Payback $100 to Mom
~ Payback $250 to Lawrence</t>
  </si>
  <si>
    <t>Partial Food And Snack Prepaid on the Previous Month
~ Food
   ~ HKTV mall 18/09 - $339.9
   ~ Ustore 02/10 - $104.3
~ Snack And Drinks
   ~ 7 Eleven 18/09 - $12
   ~ Ustore 02/10 - $30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</si>
  <si>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
~ Round Trip to East Kowloon hospital 02/10 - $4</t>
  </si>
  <si>
    <t>Balance the income and expense.
1. 02/10 - $1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</si>
</sst>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6" sqref="C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3.2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19.100000000000001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8"/>
  <sheetViews>
    <sheetView zoomScale="150" zoomScaleNormal="130" workbookViewId="0">
      <selection activeCell="E32" sqref="E3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3.2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19.100000000000001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145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2" t="s">
        <v>137</v>
      </c>
      <c r="D21" s="113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90" t="s">
        <v>166</v>
      </c>
      <c r="D22" s="91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90" t="s">
        <v>161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9" t="s">
        <v>15</v>
      </c>
      <c r="D28" s="89"/>
      <c r="E28" s="33">
        <v>2485</v>
      </c>
    </row>
    <row r="29" spans="1:25" ht="66" customHeight="1" x14ac:dyDescent="0.2">
      <c r="A29" s="50" t="s">
        <v>139</v>
      </c>
      <c r="B29" s="50" t="s">
        <v>28</v>
      </c>
      <c r="C29" s="93" t="s">
        <v>170</v>
      </c>
      <c r="D29" s="89"/>
      <c r="E29" s="29">
        <v>150</v>
      </c>
    </row>
    <row r="30" spans="1:25" ht="31" customHeight="1" x14ac:dyDescent="0.2">
      <c r="A30" s="50" t="s">
        <v>168</v>
      </c>
      <c r="B30" s="50" t="s">
        <v>24</v>
      </c>
      <c r="C30" s="93" t="s">
        <v>169</v>
      </c>
      <c r="D30" s="89"/>
      <c r="E30" s="29">
        <v>500</v>
      </c>
    </row>
    <row r="31" spans="1:25" ht="37" customHeight="1" x14ac:dyDescent="0.2">
      <c r="A31" s="50"/>
      <c r="B31" s="50"/>
      <c r="C31" s="93" t="s">
        <v>174</v>
      </c>
      <c r="D31" s="89"/>
      <c r="E31" s="29">
        <v>1</v>
      </c>
    </row>
    <row r="32" spans="1:25" ht="13.5" customHeight="1" x14ac:dyDescent="0.2">
      <c r="A32" s="24"/>
      <c r="B32" s="24"/>
      <c r="C32" s="5"/>
      <c r="D32" s="25" t="s">
        <v>30</v>
      </c>
      <c r="E32" s="26">
        <f>SUM(E28:E31)</f>
        <v>3136</v>
      </c>
    </row>
    <row r="33" spans="1:4" ht="13.5" customHeight="1" x14ac:dyDescent="0.2">
      <c r="A33" s="24"/>
      <c r="B33" s="24"/>
    </row>
    <row r="34" spans="1:4" ht="15" customHeight="1" x14ac:dyDescent="0.2">
      <c r="A34" s="87" t="s">
        <v>106</v>
      </c>
      <c r="B34" s="87"/>
      <c r="C34" s="87"/>
    </row>
    <row r="35" spans="1:4" ht="17" x14ac:dyDescent="0.2">
      <c r="A35" s="1" t="s">
        <v>10</v>
      </c>
      <c r="B35" s="1" t="s">
        <v>11</v>
      </c>
      <c r="C35" s="36" t="s">
        <v>12</v>
      </c>
      <c r="D35" s="37"/>
    </row>
    <row r="36" spans="1:4" ht="13.5" customHeight="1" x14ac:dyDescent="0.2">
      <c r="A36" s="84" t="s">
        <v>41</v>
      </c>
      <c r="B36" s="84"/>
      <c r="C36" s="84"/>
    </row>
    <row r="37" spans="1:4" ht="13.5" customHeight="1" x14ac:dyDescent="0.2">
      <c r="A37" s="50" t="s">
        <v>17</v>
      </c>
      <c r="B37" s="50" t="s">
        <v>112</v>
      </c>
      <c r="C37" s="33">
        <v>78</v>
      </c>
    </row>
    <row r="38" spans="1:4" ht="13.5" customHeight="1" x14ac:dyDescent="0.2">
      <c r="A38" s="17" t="s">
        <v>42</v>
      </c>
      <c r="B38" s="17" t="s">
        <v>43</v>
      </c>
      <c r="C38" s="38">
        <v>0</v>
      </c>
    </row>
    <row r="39" spans="1:4" ht="13.5" customHeight="1" x14ac:dyDescent="0.2">
      <c r="A39" s="17" t="s">
        <v>44</v>
      </c>
      <c r="B39" s="17" t="s">
        <v>45</v>
      </c>
      <c r="C39" s="38">
        <v>138</v>
      </c>
    </row>
    <row r="40" spans="1:4" ht="13.5" customHeight="1" x14ac:dyDescent="0.2">
      <c r="A40" s="7"/>
      <c r="B40" s="6" t="s">
        <v>46</v>
      </c>
      <c r="C40" s="39">
        <f>SUM(C37:C39)</f>
        <v>216</v>
      </c>
    </row>
    <row r="41" spans="1:4" ht="13.5" customHeight="1" x14ac:dyDescent="0.2">
      <c r="A41" s="88" t="s">
        <v>47</v>
      </c>
      <c r="B41" s="88"/>
      <c r="C41" s="88"/>
    </row>
    <row r="42" spans="1:4" ht="13.5" customHeight="1" x14ac:dyDescent="0.2">
      <c r="A42" s="88"/>
      <c r="B42" s="88"/>
      <c r="C42" s="88"/>
    </row>
    <row r="43" spans="1:4" ht="13.5" customHeight="1" x14ac:dyDescent="0.2">
      <c r="A43" s="6" t="s">
        <v>48</v>
      </c>
      <c r="B43" s="6"/>
      <c r="C43" s="29">
        <v>0</v>
      </c>
    </row>
    <row r="44" spans="1:4" ht="13.5" customHeight="1" x14ac:dyDescent="0.2">
      <c r="A44" s="6" t="s">
        <v>49</v>
      </c>
      <c r="B44" s="6"/>
      <c r="C44" s="19">
        <v>0</v>
      </c>
    </row>
    <row r="45" spans="1:4" ht="13.5" customHeight="1" x14ac:dyDescent="0.2">
      <c r="A45" s="6" t="s">
        <v>50</v>
      </c>
      <c r="B45" s="6"/>
      <c r="C45" s="19">
        <v>0</v>
      </c>
    </row>
    <row r="46" spans="1:4" ht="13.5" customHeight="1" x14ac:dyDescent="0.2">
      <c r="A46" s="6" t="s">
        <v>51</v>
      </c>
      <c r="B46" s="6"/>
      <c r="C46" s="19">
        <v>0</v>
      </c>
    </row>
    <row r="47" spans="1:4" ht="13.5" customHeight="1" x14ac:dyDescent="0.2">
      <c r="A47" s="6"/>
      <c r="B47" s="6" t="s">
        <v>52</v>
      </c>
      <c r="C47" s="39">
        <f>SUM(C43:C46)</f>
        <v>0</v>
      </c>
    </row>
    <row r="48" spans="1:4" ht="13.5" customHeight="1" x14ac:dyDescent="0.2">
      <c r="A48" s="84" t="s">
        <v>53</v>
      </c>
      <c r="B48" s="84"/>
      <c r="C48" s="84"/>
    </row>
    <row r="49" spans="1:3" ht="13.5" customHeight="1" x14ac:dyDescent="0.2">
      <c r="A49" s="6" t="s">
        <v>54</v>
      </c>
      <c r="B49" s="6" t="s">
        <v>55</v>
      </c>
      <c r="C49" s="33">
        <v>0</v>
      </c>
    </row>
    <row r="50" spans="1:3" ht="13.5" customHeight="1" x14ac:dyDescent="0.2">
      <c r="A50" s="6" t="s">
        <v>56</v>
      </c>
      <c r="B50" s="6" t="s">
        <v>57</v>
      </c>
      <c r="C50" s="33">
        <v>0</v>
      </c>
    </row>
    <row r="51" spans="1:3" ht="13.5" customHeight="1" x14ac:dyDescent="0.2">
      <c r="A51" s="6"/>
      <c r="B51" s="6" t="s">
        <v>58</v>
      </c>
      <c r="C51" s="39">
        <f>SUM(C49:C50)</f>
        <v>0</v>
      </c>
    </row>
    <row r="52" spans="1:3" ht="13.5" customHeight="1" x14ac:dyDescent="0.2">
      <c r="A52" s="84" t="s">
        <v>59</v>
      </c>
      <c r="B52" s="84"/>
      <c r="C52" s="84"/>
    </row>
    <row r="53" spans="1:3" ht="13.5" customHeight="1" x14ac:dyDescent="0.2">
      <c r="A53" s="6" t="s">
        <v>60</v>
      </c>
      <c r="B53" s="6" t="s">
        <v>61</v>
      </c>
      <c r="C53" s="29">
        <v>0</v>
      </c>
    </row>
    <row r="54" spans="1:3" ht="13.5" customHeight="1" x14ac:dyDescent="0.2">
      <c r="A54" s="17"/>
      <c r="B54" s="17" t="s">
        <v>62</v>
      </c>
      <c r="C54" s="39">
        <f>SUM(C53)</f>
        <v>0</v>
      </c>
    </row>
    <row r="55" spans="1:3" ht="13.5" customHeight="1" x14ac:dyDescent="0.2">
      <c r="A55" s="84" t="s">
        <v>63</v>
      </c>
      <c r="B55" s="84"/>
      <c r="C55" s="84"/>
    </row>
    <row r="56" spans="1:3" ht="13.5" customHeight="1" x14ac:dyDescent="0.2">
      <c r="A56" s="6" t="s">
        <v>64</v>
      </c>
      <c r="B56" s="6" t="s">
        <v>65</v>
      </c>
      <c r="C56" s="29">
        <v>0</v>
      </c>
    </row>
    <row r="57" spans="1:3" ht="13.5" customHeight="1" x14ac:dyDescent="0.2">
      <c r="A57" s="6"/>
      <c r="B57" s="6" t="s">
        <v>66</v>
      </c>
      <c r="C57" s="39">
        <f>SUM(C56)</f>
        <v>0</v>
      </c>
    </row>
    <row r="58" spans="1:3" ht="13.5" customHeight="1" x14ac:dyDescent="0.2">
      <c r="A58" s="85" t="s">
        <v>67</v>
      </c>
      <c r="B58" s="85"/>
      <c r="C58" s="85"/>
    </row>
    <row r="59" spans="1:3" ht="13.5" customHeight="1" x14ac:dyDescent="0.2">
      <c r="A59" s="17" t="s">
        <v>68</v>
      </c>
      <c r="B59" s="5" t="s">
        <v>69</v>
      </c>
      <c r="C59" s="40">
        <v>0</v>
      </c>
    </row>
    <row r="60" spans="1:3" ht="13.5" customHeight="1" x14ac:dyDescent="0.2">
      <c r="A60" s="6" t="s">
        <v>70</v>
      </c>
      <c r="B60" s="6" t="s">
        <v>18</v>
      </c>
      <c r="C60" s="29">
        <v>900</v>
      </c>
    </row>
    <row r="61" spans="1:3" ht="32" x14ac:dyDescent="0.2">
      <c r="A61" s="6" t="s">
        <v>71</v>
      </c>
      <c r="B61" s="6" t="s">
        <v>72</v>
      </c>
      <c r="C61" s="29">
        <v>0</v>
      </c>
    </row>
    <row r="62" spans="1:3" ht="13.5" customHeight="1" x14ac:dyDescent="0.2">
      <c r="A62" s="6" t="s">
        <v>73</v>
      </c>
      <c r="B62" s="6" t="s">
        <v>74</v>
      </c>
      <c r="C62" s="29">
        <v>0</v>
      </c>
    </row>
    <row r="63" spans="1:3" ht="13.5" customHeight="1" x14ac:dyDescent="0.2">
      <c r="A63" s="6" t="s">
        <v>75</v>
      </c>
      <c r="B63" s="6"/>
      <c r="C63" s="29">
        <v>55</v>
      </c>
    </row>
    <row r="64" spans="1:3" ht="13.5" customHeight="1" x14ac:dyDescent="0.2">
      <c r="A64" s="7" t="s">
        <v>76</v>
      </c>
      <c r="B64" s="7" t="s">
        <v>77</v>
      </c>
      <c r="C64" s="19">
        <v>0</v>
      </c>
    </row>
    <row r="65" spans="1:8" ht="13.5" customHeight="1" x14ac:dyDescent="0.2">
      <c r="A65" s="7"/>
      <c r="B65" s="7" t="s">
        <v>78</v>
      </c>
      <c r="C65" s="39">
        <f>SUM(C59:C64)</f>
        <v>955</v>
      </c>
    </row>
    <row r="66" spans="1:8" ht="13.5" customHeight="1" x14ac:dyDescent="0.2">
      <c r="A66" s="85" t="s">
        <v>79</v>
      </c>
      <c r="B66" s="85"/>
      <c r="C66" s="85"/>
    </row>
    <row r="67" spans="1:8" ht="13.5" customHeight="1" x14ac:dyDescent="0.2">
      <c r="A67" s="7" t="s">
        <v>24</v>
      </c>
      <c r="B67" s="7"/>
      <c r="C67" s="19">
        <v>0</v>
      </c>
    </row>
    <row r="68" spans="1:8" ht="13.5" customHeight="1" x14ac:dyDescent="0.2">
      <c r="A68" s="7" t="s">
        <v>80</v>
      </c>
      <c r="B68" s="7"/>
      <c r="C68" s="19">
        <v>0</v>
      </c>
    </row>
    <row r="69" spans="1:8" ht="13.5" customHeight="1" x14ac:dyDescent="0.2">
      <c r="A69" s="7"/>
      <c r="B69" s="7" t="s">
        <v>81</v>
      </c>
      <c r="C69" s="19">
        <f>SUM(C67:C68)</f>
        <v>0</v>
      </c>
    </row>
    <row r="70" spans="1:8" ht="13.5" customHeight="1" x14ac:dyDescent="0.2">
      <c r="A70" s="6"/>
      <c r="B70" s="34" t="s">
        <v>82</v>
      </c>
      <c r="C70" s="41">
        <f>C40+C47+C51+C54+C57+C65</f>
        <v>1171</v>
      </c>
      <c r="H70" s="42"/>
    </row>
    <row r="71" spans="1:8" ht="13.5" customHeight="1" x14ac:dyDescent="0.2">
      <c r="A71" s="24"/>
      <c r="B71" s="24"/>
    </row>
    <row r="72" spans="1:8" ht="13.5" customHeight="1" x14ac:dyDescent="0.2">
      <c r="A72" s="24"/>
      <c r="B72" s="24"/>
    </row>
    <row r="73" spans="1:8" ht="13.5" customHeight="1" x14ac:dyDescent="0.2">
      <c r="A73" s="73" t="s">
        <v>128</v>
      </c>
      <c r="B73" s="73"/>
      <c r="C73" s="73"/>
      <c r="D73" s="73"/>
      <c r="E73" s="73"/>
    </row>
    <row r="74" spans="1:8" ht="13.5" customHeight="1" x14ac:dyDescent="0.2">
      <c r="A74" s="86" t="s">
        <v>83</v>
      </c>
      <c r="B74" s="86"/>
      <c r="C74" s="86" t="s">
        <v>11</v>
      </c>
      <c r="D74" s="86"/>
      <c r="E74" s="44" t="s">
        <v>12</v>
      </c>
    </row>
    <row r="75" spans="1:8" ht="24" customHeight="1" x14ac:dyDescent="0.2">
      <c r="A75" s="60" t="s">
        <v>107</v>
      </c>
      <c r="B75" s="60"/>
      <c r="C75" s="57"/>
      <c r="D75" s="57"/>
      <c r="E75" s="47">
        <f>'April 2026 - June 2026'!E114</f>
        <v>110.69999999999982</v>
      </c>
    </row>
    <row r="76" spans="1:8" ht="39" customHeight="1" x14ac:dyDescent="0.2">
      <c r="A76" s="76" t="s">
        <v>67</v>
      </c>
      <c r="B76" s="76"/>
      <c r="C76" s="75" t="s">
        <v>121</v>
      </c>
      <c r="D76" s="75"/>
      <c r="E76" s="45">
        <v>600</v>
      </c>
    </row>
    <row r="77" spans="1:8" ht="259" customHeight="1" x14ac:dyDescent="0.2">
      <c r="A77" s="76"/>
      <c r="B77" s="76"/>
      <c r="C77" s="111" t="s">
        <v>133</v>
      </c>
      <c r="D77" s="74"/>
      <c r="E77" s="45">
        <v>1117.5</v>
      </c>
    </row>
    <row r="78" spans="1:8" ht="146" customHeight="1" x14ac:dyDescent="0.2">
      <c r="A78" s="76"/>
      <c r="B78" s="76"/>
      <c r="C78" s="111" t="s">
        <v>134</v>
      </c>
      <c r="D78" s="82"/>
      <c r="E78" s="45">
        <v>508</v>
      </c>
    </row>
    <row r="79" spans="1:8" ht="13.5" customHeight="1" x14ac:dyDescent="0.2">
      <c r="A79" s="76" t="s">
        <v>95</v>
      </c>
      <c r="B79" s="76"/>
      <c r="C79" s="77"/>
      <c r="D79" s="77"/>
      <c r="E79" s="46">
        <f>C70</f>
        <v>1171</v>
      </c>
    </row>
    <row r="80" spans="1:8" ht="13.5" customHeight="1" x14ac:dyDescent="0.2">
      <c r="C80" s="78" t="s">
        <v>96</v>
      </c>
      <c r="D80" s="78"/>
      <c r="E80" s="47">
        <f>(E15+E75)-SUM(E76:E79)</f>
        <v>24.599999999999909</v>
      </c>
    </row>
    <row r="81" spans="1:5" ht="13.5" customHeight="1" x14ac:dyDescent="0.2"/>
    <row r="82" spans="1:5" ht="13.5" customHeight="1" x14ac:dyDescent="0.2">
      <c r="A82" s="73" t="s">
        <v>129</v>
      </c>
      <c r="B82" s="73"/>
      <c r="C82" s="73"/>
      <c r="D82" s="73"/>
      <c r="E82" s="73"/>
    </row>
    <row r="83" spans="1:5" ht="13.5" customHeight="1" x14ac:dyDescent="0.2">
      <c r="A83" s="73" t="s">
        <v>83</v>
      </c>
      <c r="B83" s="73"/>
      <c r="C83" s="73" t="s">
        <v>11</v>
      </c>
      <c r="D83" s="73"/>
      <c r="E83" s="43" t="s">
        <v>12</v>
      </c>
    </row>
    <row r="84" spans="1:5" ht="23" customHeight="1" x14ac:dyDescent="0.2">
      <c r="A84" s="60" t="s">
        <v>108</v>
      </c>
      <c r="B84" s="60"/>
      <c r="C84" s="58"/>
      <c r="D84" s="58"/>
      <c r="E84" s="47">
        <f>E80</f>
        <v>24.599999999999909</v>
      </c>
    </row>
    <row r="85" spans="1:5" ht="56" customHeight="1" x14ac:dyDescent="0.2">
      <c r="A85" s="61" t="s">
        <v>67</v>
      </c>
      <c r="B85" s="62"/>
      <c r="C85" s="107" t="s">
        <v>142</v>
      </c>
      <c r="D85" s="108"/>
      <c r="E85" s="48">
        <v>830.4</v>
      </c>
    </row>
    <row r="86" spans="1:5" ht="149" customHeight="1" x14ac:dyDescent="0.2">
      <c r="A86" s="63"/>
      <c r="B86" s="64"/>
      <c r="C86" s="75" t="s">
        <v>146</v>
      </c>
      <c r="D86" s="75"/>
      <c r="E86" s="48">
        <v>721.4</v>
      </c>
    </row>
    <row r="87" spans="1:5" ht="234" customHeight="1" x14ac:dyDescent="0.2">
      <c r="A87" s="63"/>
      <c r="B87" s="64"/>
      <c r="C87" s="70" t="s">
        <v>167</v>
      </c>
      <c r="D87" s="109"/>
      <c r="E87" s="48">
        <v>956.5</v>
      </c>
    </row>
    <row r="88" spans="1:5" ht="40" customHeight="1" x14ac:dyDescent="0.2">
      <c r="A88" s="63"/>
      <c r="B88" s="64"/>
      <c r="C88" s="107" t="s">
        <v>144</v>
      </c>
      <c r="D88" s="110"/>
      <c r="E88" s="48">
        <v>196.54</v>
      </c>
    </row>
    <row r="89" spans="1:5" ht="80" customHeight="1" x14ac:dyDescent="0.2">
      <c r="A89" s="65"/>
      <c r="B89" s="66"/>
      <c r="C89" s="70" t="s">
        <v>143</v>
      </c>
      <c r="D89" s="109"/>
      <c r="E89" s="55">
        <v>426</v>
      </c>
    </row>
    <row r="90" spans="1:5" ht="19.5" customHeight="1" x14ac:dyDescent="0.2">
      <c r="A90" s="57" t="s">
        <v>95</v>
      </c>
      <c r="B90" s="57"/>
      <c r="C90" s="58"/>
      <c r="D90" s="58"/>
      <c r="E90" s="45">
        <f>C70</f>
        <v>1171</v>
      </c>
    </row>
    <row r="91" spans="1:5" ht="13.5" customHeight="1" x14ac:dyDescent="0.2">
      <c r="C91" s="59" t="s">
        <v>96</v>
      </c>
      <c r="D91" s="59"/>
      <c r="E91" s="47">
        <f>(E24+E84)-SUM(E85:E90)</f>
        <v>44.940000000000509</v>
      </c>
    </row>
    <row r="92" spans="1:5" ht="13.5" customHeight="1" x14ac:dyDescent="0.2">
      <c r="A92" s="49"/>
      <c r="B92" s="49"/>
      <c r="C92" s="49"/>
      <c r="D92" s="49"/>
      <c r="E92" s="49"/>
    </row>
    <row r="93" spans="1:5" ht="13.5" customHeight="1" x14ac:dyDescent="0.2">
      <c r="A93" s="49"/>
      <c r="B93" s="49"/>
      <c r="C93" s="49"/>
      <c r="D93" s="49"/>
      <c r="E93" s="49"/>
    </row>
    <row r="94" spans="1:5" ht="22" customHeight="1" x14ac:dyDescent="0.2">
      <c r="A94" s="72" t="s">
        <v>130</v>
      </c>
      <c r="B94" s="72"/>
      <c r="C94" s="72"/>
      <c r="D94" s="72"/>
      <c r="E94" s="72"/>
    </row>
    <row r="95" spans="1:5" ht="13.5" customHeight="1" x14ac:dyDescent="0.2">
      <c r="A95" s="73" t="s">
        <v>83</v>
      </c>
      <c r="B95" s="73"/>
      <c r="C95" s="73" t="s">
        <v>11</v>
      </c>
      <c r="D95" s="73"/>
      <c r="E95" s="43" t="s">
        <v>12</v>
      </c>
    </row>
    <row r="96" spans="1:5" ht="25" customHeight="1" x14ac:dyDescent="0.2">
      <c r="A96" s="60" t="s">
        <v>109</v>
      </c>
      <c r="B96" s="60"/>
      <c r="C96" s="58"/>
      <c r="D96" s="58"/>
      <c r="E96" s="47">
        <f>E91</f>
        <v>44.940000000000509</v>
      </c>
    </row>
    <row r="97" spans="1:5" ht="63" customHeight="1" x14ac:dyDescent="0.2">
      <c r="A97" s="61" t="s">
        <v>67</v>
      </c>
      <c r="B97" s="62"/>
      <c r="C97" s="107" t="s">
        <v>171</v>
      </c>
      <c r="D97" s="108"/>
      <c r="E97" s="45">
        <v>600</v>
      </c>
    </row>
    <row r="98" spans="1:5" ht="131" customHeight="1" x14ac:dyDescent="0.2">
      <c r="A98" s="63"/>
      <c r="B98" s="64"/>
      <c r="C98" s="105" t="s">
        <v>172</v>
      </c>
      <c r="D98" s="106"/>
      <c r="E98" s="45">
        <v>486.2</v>
      </c>
    </row>
    <row r="99" spans="1:5" ht="134" customHeight="1" x14ac:dyDescent="0.2">
      <c r="A99" s="63"/>
      <c r="B99" s="64"/>
      <c r="C99" s="105" t="s">
        <v>173</v>
      </c>
      <c r="D99" s="106"/>
      <c r="E99" s="45">
        <v>768</v>
      </c>
    </row>
    <row r="100" spans="1:5" ht="20" customHeight="1" x14ac:dyDescent="0.2">
      <c r="A100" s="65"/>
      <c r="B100" s="66"/>
      <c r="C100" s="105" t="s">
        <v>165</v>
      </c>
      <c r="D100" s="106"/>
      <c r="E100" s="45">
        <v>136.63999999999999</v>
      </c>
    </row>
    <row r="101" spans="1:5" ht="13.5" customHeight="1" x14ac:dyDescent="0.2">
      <c r="A101" s="57" t="s">
        <v>95</v>
      </c>
      <c r="B101" s="57"/>
      <c r="C101" s="58"/>
      <c r="D101" s="58"/>
      <c r="E101" s="45">
        <f>C70</f>
        <v>1171</v>
      </c>
    </row>
    <row r="102" spans="1:5" ht="13.5" customHeight="1" x14ac:dyDescent="0.2">
      <c r="C102" s="59" t="s">
        <v>96</v>
      </c>
      <c r="D102" s="59"/>
      <c r="E102" s="47">
        <f>(E32+E96)-SUM(E97:E101)</f>
        <v>19.100000000000364</v>
      </c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</sheetData>
  <mergeCells count="66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4:C34"/>
    <mergeCell ref="A36:C36"/>
    <mergeCell ref="C29:D29"/>
    <mergeCell ref="C31:D31"/>
    <mergeCell ref="A41:C42"/>
    <mergeCell ref="A48:C48"/>
    <mergeCell ref="A52:C52"/>
    <mergeCell ref="A55:C55"/>
    <mergeCell ref="A58:C58"/>
    <mergeCell ref="A66:C66"/>
    <mergeCell ref="A73:E73"/>
    <mergeCell ref="A74:B74"/>
    <mergeCell ref="C74:D74"/>
    <mergeCell ref="A75:B75"/>
    <mergeCell ref="C75:D75"/>
    <mergeCell ref="A76:B78"/>
    <mergeCell ref="C76:D76"/>
    <mergeCell ref="C77:D77"/>
    <mergeCell ref="C78:D78"/>
    <mergeCell ref="A79:B79"/>
    <mergeCell ref="C79:D79"/>
    <mergeCell ref="C80:D80"/>
    <mergeCell ref="A82:E82"/>
    <mergeCell ref="A83:B83"/>
    <mergeCell ref="C83:D83"/>
    <mergeCell ref="A84:B84"/>
    <mergeCell ref="C84:D84"/>
    <mergeCell ref="C85:D85"/>
    <mergeCell ref="C91:D91"/>
    <mergeCell ref="A94:E94"/>
    <mergeCell ref="A95:B95"/>
    <mergeCell ref="C95:D95"/>
    <mergeCell ref="C86:D86"/>
    <mergeCell ref="C87:D87"/>
    <mergeCell ref="C89:D89"/>
    <mergeCell ref="A90:B90"/>
    <mergeCell ref="C90:D90"/>
    <mergeCell ref="C88:D88"/>
    <mergeCell ref="A85:B89"/>
    <mergeCell ref="C102:D102"/>
    <mergeCell ref="A96:B96"/>
    <mergeCell ref="C96:D96"/>
    <mergeCell ref="A101:B101"/>
    <mergeCell ref="C101:D101"/>
    <mergeCell ref="C98:D98"/>
    <mergeCell ref="C99:D99"/>
    <mergeCell ref="C100:D100"/>
    <mergeCell ref="C97:D97"/>
    <mergeCell ref="A97:B100"/>
  </mergeCells>
  <conditionalFormatting sqref="C7:C8 E75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80 E84 E91 E96 E102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33" zoomScale="140" zoomScaleNormal="130" workbookViewId="0">
      <selection activeCell="H70" sqref="H70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149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3.2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19.100000000000001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153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2"/>
      <c r="D19" s="11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158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151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160</v>
      </c>
      <c r="B69" s="60"/>
      <c r="C69" s="57"/>
      <c r="D69" s="57"/>
      <c r="E69" s="47">
        <f>'July 2026- September 2026'!E102</f>
        <v>19.100000000000364</v>
      </c>
    </row>
    <row r="70" spans="1:5" ht="32" customHeight="1" x14ac:dyDescent="0.2">
      <c r="A70" s="76" t="s">
        <v>67</v>
      </c>
      <c r="B70" s="76"/>
      <c r="C70" s="75"/>
      <c r="D70" s="75"/>
      <c r="E70" s="45">
        <v>0</v>
      </c>
    </row>
    <row r="71" spans="1:5" ht="47" customHeight="1" x14ac:dyDescent="0.2">
      <c r="A71" s="76"/>
      <c r="B71" s="76"/>
      <c r="C71" s="111" t="s">
        <v>162</v>
      </c>
      <c r="D71" s="74"/>
      <c r="E71" s="45">
        <v>0</v>
      </c>
    </row>
    <row r="72" spans="1:5" ht="23" customHeight="1" x14ac:dyDescent="0.2">
      <c r="A72" s="76"/>
      <c r="B72" s="76"/>
      <c r="C72" s="111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949.10000000000036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148</v>
      </c>
      <c r="B78" s="60"/>
      <c r="C78" s="58"/>
      <c r="D78" s="58"/>
      <c r="E78" s="47">
        <f>E74</f>
        <v>949.10000000000036</v>
      </c>
    </row>
    <row r="79" spans="1:5" ht="30" customHeight="1" x14ac:dyDescent="0.2">
      <c r="A79" s="61" t="s">
        <v>67</v>
      </c>
      <c r="B79" s="62"/>
      <c r="C79" s="107"/>
      <c r="D79" s="108"/>
      <c r="E79" s="48">
        <v>0</v>
      </c>
    </row>
    <row r="80" spans="1:5" ht="39" customHeight="1" x14ac:dyDescent="0.2">
      <c r="A80" s="63"/>
      <c r="B80" s="64"/>
      <c r="C80" s="75" t="s">
        <v>162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09"/>
      <c r="E81" s="48">
        <v>0</v>
      </c>
    </row>
    <row r="82" spans="1:5" ht="24" customHeight="1" x14ac:dyDescent="0.2">
      <c r="A82" s="63"/>
      <c r="B82" s="64"/>
      <c r="C82" s="107"/>
      <c r="D82" s="110"/>
      <c r="E82" s="48">
        <v>0</v>
      </c>
    </row>
    <row r="83" spans="1:5" ht="24" customHeight="1" x14ac:dyDescent="0.2">
      <c r="A83" s="65"/>
      <c r="B83" s="66"/>
      <c r="C83" s="70"/>
      <c r="D83" s="109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1555</v>
      </c>
    </row>
    <row r="85" spans="1:5" ht="13.5" customHeight="1" x14ac:dyDescent="0.2">
      <c r="C85" s="59" t="s">
        <v>96</v>
      </c>
      <c r="D85" s="59"/>
      <c r="E85" s="47">
        <f>(E20+E78)-SUM(E79:E84)</f>
        <v>1879.1000000000004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159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157</v>
      </c>
      <c r="B90" s="60"/>
      <c r="C90" s="58"/>
      <c r="D90" s="58"/>
      <c r="E90" s="47">
        <f>E85</f>
        <v>1879.1000000000004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162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1555</v>
      </c>
    </row>
    <row r="95" spans="1:5" ht="19" customHeight="1" x14ac:dyDescent="0.2">
      <c r="C95" s="59" t="s">
        <v>96</v>
      </c>
      <c r="D95" s="59"/>
      <c r="E95" s="47">
        <f>(E26+E90)-SUM(E91:E94)</f>
        <v>2809.1000000000004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2026-10-02T05:22:37Z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