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tangsinglun/private-repository/Income And Expense Forecast/"/>
    </mc:Choice>
  </mc:AlternateContent>
  <xr:revisionPtr revIDLastSave="0" documentId="13_ncr:1_{115A6D1F-6E67-3A4D-B55F-2A83C010ADAD}" xr6:coauthVersionLast="47" xr6:coauthVersionMax="47" xr10:uidLastSave="{00000000-0000-0000-0000-000000000000}"/>
  <bookViews>
    <workbookView xWindow="0" yWindow="600" windowWidth="51200" windowHeight="26400" tabRatio="500" xr2:uid="{00000000-000D-0000-FFFF-FFFF00000000}"/>
  </bookViews>
  <sheets>
    <sheet name="April 2026 - June 2026" sheetId="1" r:id="rId1"/>
    <sheet name="July 2026- September 2026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" i="2" l="1"/>
  <c r="C7" i="2"/>
  <c r="C6" i="2"/>
  <c r="C4" i="2"/>
  <c r="E114" i="1"/>
  <c r="E113" i="1"/>
  <c r="E109" i="1"/>
  <c r="E104" i="1"/>
  <c r="E103" i="1"/>
  <c r="E97" i="1"/>
  <c r="E93" i="1"/>
  <c r="E92" i="1"/>
  <c r="C76" i="1"/>
  <c r="C75" i="1"/>
  <c r="C71" i="1"/>
  <c r="C63" i="1"/>
  <c r="C60" i="1"/>
  <c r="C57" i="1"/>
  <c r="C53" i="1"/>
  <c r="C46" i="1"/>
  <c r="E38" i="1"/>
  <c r="E29" i="1"/>
  <c r="E20" i="1"/>
  <c r="C8" i="1"/>
  <c r="C8" i="2" s="1"/>
  <c r="E73" i="2"/>
  <c r="C67" i="2"/>
  <c r="C63" i="2"/>
  <c r="C55" i="2"/>
  <c r="C52" i="2"/>
  <c r="C49" i="2"/>
  <c r="C45" i="2"/>
  <c r="C38" i="2"/>
  <c r="E30" i="2"/>
  <c r="E24" i="2"/>
  <c r="E15" i="2"/>
  <c r="C5" i="2"/>
  <c r="C68" i="2" l="1"/>
  <c r="E77" i="2" s="1"/>
  <c r="E78" i="2" s="1"/>
  <c r="E82" i="2" s="1"/>
  <c r="E88" i="2" l="1"/>
  <c r="E98" i="2"/>
  <c r="E89" i="2"/>
  <c r="E94" i="2" s="1"/>
  <c r="E99" i="2" s="1"/>
</calcChain>
</file>

<file path=xl/sharedStrings.xml><?xml version="1.0" encoding="utf-8"?>
<sst xmlns="http://schemas.openxmlformats.org/spreadsheetml/2006/main" count="298" uniqueCount="152">
  <si>
    <t>Alan Tang's Income Expense For the Forecast Year 2026 April - June 2026</t>
  </si>
  <si>
    <t>Assets</t>
  </si>
  <si>
    <t>HSBC One Saving Account</t>
  </si>
  <si>
    <t>Coins And Cash</t>
  </si>
  <si>
    <t>Bank Cheque</t>
  </si>
  <si>
    <t>Alipay HK</t>
  </si>
  <si>
    <t>Octopus Remain Value</t>
  </si>
  <si>
    <t>Total Asset</t>
  </si>
  <si>
    <t>April 20th - May 19th 2026 Revenue / Defered Debts Or Expenses</t>
  </si>
  <si>
    <t>Date</t>
  </si>
  <si>
    <t>Name</t>
  </si>
  <si>
    <t>Description</t>
  </si>
  <si>
    <t>Amount</t>
  </si>
  <si>
    <t>20th April 2026</t>
  </si>
  <si>
    <t>Social Welfare</t>
  </si>
  <si>
    <t>Disability Allowance</t>
  </si>
  <si>
    <t>Communication</t>
  </si>
  <si>
    <t xml:space="preserve">China Mobile </t>
  </si>
  <si>
    <t>e-cigarette</t>
  </si>
  <si>
    <t>Already Brought E-cigarette on March enough for this month</t>
  </si>
  <si>
    <t>Optifast plus</t>
  </si>
  <si>
    <t>Sell it</t>
  </si>
  <si>
    <t>Loan</t>
  </si>
  <si>
    <t>Borrow from Lawrence</t>
  </si>
  <si>
    <t>Mother</t>
  </si>
  <si>
    <t>1. Return back From Mom HKT Fixed Line Services - $140
2. Remaining Mother Credit Card to puchase from Amazon - $7.6
3. Borrow $40</t>
  </si>
  <si>
    <t>Netflix Not Yet Registered</t>
  </si>
  <si>
    <t>21st April 2026</t>
  </si>
  <si>
    <t>Octopus</t>
  </si>
  <si>
    <t>Topup $50 For Octopus</t>
  </si>
  <si>
    <t>Forecast Total</t>
  </si>
  <si>
    <t>May 20th - June 17th 2026 Revenue / Defered Debts Or Expenses</t>
  </si>
  <si>
    <t>20th May 2026</t>
  </si>
  <si>
    <t>Early June 2026</t>
  </si>
  <si>
    <t>Additional One Month Disability Allowance</t>
  </si>
  <si>
    <t>Buy 5 give 1 discount for $695 original $900</t>
  </si>
  <si>
    <t>1. Topup For Octopus Card (Credit $50).
2. Topup For Octopus Card (Credit $50) on 23/05.
3. Topup For Octopus Card (Credit $50) on 01/06.</t>
  </si>
  <si>
    <t>June 18th - August 19th 2026 Revenue / Defered Debts Or Expenses</t>
  </si>
  <si>
    <t>20th June 2026</t>
  </si>
  <si>
    <t>Cancel Netflix</t>
  </si>
  <si>
    <t>Fixed Expense For the Year 2026 April - June 2026</t>
  </si>
  <si>
    <t>Mobile And Communications</t>
  </si>
  <si>
    <t>Netflix</t>
  </si>
  <si>
    <t>Premium</t>
  </si>
  <si>
    <t>China Mobile</t>
  </si>
  <si>
    <t>5G Plan</t>
  </si>
  <si>
    <t>Total Payment</t>
  </si>
  <si>
    <t>Credit Card Installments/Expense</t>
  </si>
  <si>
    <t>Citi Bank</t>
  </si>
  <si>
    <t xml:space="preserve">SC Bank - Smart </t>
  </si>
  <si>
    <t>Bank Of China</t>
  </si>
  <si>
    <t>HSBC Red</t>
  </si>
  <si>
    <t>Total Installments</t>
  </si>
  <si>
    <t>Donation</t>
  </si>
  <si>
    <t xml:space="preserve">Traverse Media </t>
  </si>
  <si>
    <t>Youtube Javascript Channel</t>
  </si>
  <si>
    <t>Orbis</t>
  </si>
  <si>
    <t>Orbis Eye Flight</t>
  </si>
  <si>
    <t>Total Donation</t>
  </si>
  <si>
    <t>Insurance</t>
  </si>
  <si>
    <t>AIA</t>
  </si>
  <si>
    <t>AIA Insurance</t>
  </si>
  <si>
    <t>Total Insurance</t>
  </si>
  <si>
    <t>House Expense</t>
  </si>
  <si>
    <t>Salary</t>
  </si>
  <si>
    <t>Mom</t>
  </si>
  <si>
    <t>Total House Expense</t>
  </si>
  <si>
    <t>Other Expense</t>
  </si>
  <si>
    <t>Other Stuff</t>
  </si>
  <si>
    <t>Food, Transport….</t>
  </si>
  <si>
    <t>Cigarettes</t>
  </si>
  <si>
    <t>Weight Loss</t>
  </si>
  <si>
    <t>Optifast weight Loss Program 
(3 Months Program)</t>
  </si>
  <si>
    <t>Entertainment</t>
  </si>
  <si>
    <t>Sportify Music</t>
  </si>
  <si>
    <t>Hair Cut</t>
  </si>
  <si>
    <t xml:space="preserve">Visit Doctor </t>
  </si>
  <si>
    <t>Vist Psychology Doctor</t>
  </si>
  <si>
    <t>Total Other Expense</t>
  </si>
  <si>
    <t>Debts</t>
  </si>
  <si>
    <t>Lawrence</t>
  </si>
  <si>
    <t>Total Debts</t>
  </si>
  <si>
    <t>Monthly Total</t>
  </si>
  <si>
    <t>Principal</t>
  </si>
  <si>
    <t>Blance Brought Forward</t>
  </si>
  <si>
    <t>MAGGI Orginal Mashed Potato with Beef 12x35g * 2</t>
  </si>
  <si>
    <t>~ U-store - $82.4
~ U-store Ovaltine malted milk $25
~ OK Store - $63.6
~ Wellcome supermarket $49.5
~ U-store 26/04 - $34.9
~ Best Mart 360 26/04  - $25
~ OK Store 27/04 - $23
~ St Honer 27/04 - $31
~ OK Store 03/05 - $29.5
~ Best Mart 360 06/05 - $35
~ OK Store 13/05 - $29.5
~ OK Store 16/05 - $27.5
~ A1 Bakery 17/05- $42
~ U-store 18/05 - $9.8</t>
  </si>
  <si>
    <t xml:space="preserve">~ Optifast weight Loss Program </t>
  </si>
  <si>
    <t>~ Topup $50 For Octopus</t>
  </si>
  <si>
    <t>~ Brought Classic Crocs - $418</t>
  </si>
  <si>
    <t>~ E-cigarette buds 6 packets plus delivery fees</t>
  </si>
  <si>
    <t>~ Transportation To Prince Edward
~ Transportation To Hospital</t>
  </si>
  <si>
    <t>~ Pay HKT Fixed Telephone Line Services 2 months - $136</t>
  </si>
  <si>
    <t>~ Pay Water Fees</t>
  </si>
  <si>
    <t>~ Amazon clairol hair bleaching plus insoles - $366.38</t>
  </si>
  <si>
    <t>Fixed Expense</t>
  </si>
  <si>
    <r>
      <rPr>
        <b/>
        <sz val="11"/>
        <color rgb="FFFF0000"/>
        <rFont val="Calibri"/>
        <family val="2"/>
        <charset val="1"/>
      </rPr>
      <t xml:space="preserve">Total Debts / </t>
    </r>
    <r>
      <rPr>
        <b/>
        <sz val="11"/>
        <color rgb="FF4A86E8"/>
        <rFont val="Calibri"/>
        <family val="2"/>
        <charset val="1"/>
      </rPr>
      <t>Credits</t>
    </r>
  </si>
  <si>
    <t>Balance Brought Forward From April 2026</t>
  </si>
  <si>
    <t>~ Payback to Lawrence (postpone to additional one month allowance for paying back)
~ Payback to Mom</t>
  </si>
  <si>
    <t>~ K-Swiss - $399
~ Uniqlo Underware and Socks - $315
~ Uniqlo T Shirt - $395
   ~ UNISEX DRY COLOR CREW NECK T-SHIRT NAVY 4XL - $49
   ~ MEN DRY V NECK T-SHIRT 484845 NAVY 4XL - $49
   ~ UNISEX NY POP ART UT (SHORT SLEEVE GRAPHIC T-SHIRT) 485062 BLACK 3XL - $99
   ~ UNISEX PEANUTS UT (SHORT SLEEVE GRAPHIC T-SHIRT) 485058 NATURAL 3XL - $99
   ~ UNISEX MAGIC FOR ALL ICONS UT (SHORT SLEEVE GRAPHIC T-SHIRT) 484758 3XL - $99</t>
  </si>
  <si>
    <t>Balance Brought Forward From May 2026</t>
  </si>
  <si>
    <t>Alan Tang's Income Expense For the Forecast Year 2026 July - September 2026</t>
  </si>
  <si>
    <t>July 20th - August 19th 2026 Revenue / Defered Debts Or Expenses</t>
  </si>
  <si>
    <t>20th July 2026</t>
  </si>
  <si>
    <t>August 20th - September 17th 2026 Revenue / Defered Debts Or Expenses</t>
  </si>
  <si>
    <t>September 18th - October 19th 2026 Revenue / Defered Debts Or Expenses</t>
  </si>
  <si>
    <t>Fixed Expense For the Year 2026 July - September 2026</t>
  </si>
  <si>
    <t>Blance Brough Forward From June 2026</t>
  </si>
  <si>
    <t>Balance Brought Forward From July 2026</t>
  </si>
  <si>
    <t>Balance Brought Forward From August 2026</t>
  </si>
  <si>
    <t>~ Debit For Octopus Card ($50).
~ Debit For Octopus Card ($50) on 23/05.
~ Debit For Octopus Card ($50) on 01/06.
~ Round Trip to Airport on 29/05 - $9.4
~ Trip to Restaurant on 30/05 - $2
~ Trip to Restaurant on 02/05 - $2
~ Trip to East Kwoloon Hospital 08/06 - $4</t>
  </si>
  <si>
    <t>~ Buy additional Cigarette @ $81 each x 6 - $486
~ Donate $100 to Chest Community - $100
~ Pay Fees For HKT Fixed Line Phone - $68
~ Mail Chuk Yuen Post Office - $2.4</t>
  </si>
  <si>
    <t>Broadband</t>
  </si>
  <si>
    <r>
      <t xml:space="preserve">~ Food - $300 ($178.8)
   ~ Shopping on 23/05 - $121.4
   ~ ParkNShop on 24/5 - $14
</t>
    </r>
    <r>
      <rPr>
        <sz val="11"/>
        <color rgb="FF000000"/>
        <rFont val="Calibri"/>
        <family val="2"/>
      </rPr>
      <t xml:space="preserve">   ~ Wellcome on 04/06 - $43.4</t>
    </r>
    <r>
      <rPr>
        <sz val="11"/>
        <color rgb="FF000000"/>
        <rFont val="Calibri"/>
        <family val="2"/>
        <charset val="1"/>
      </rPr>
      <t xml:space="preserve">  
~ Snacks And Drinks - $200 ($703.4)
   ~ Ovaltine Malt Drink 1 bottle - $25
   ~ OK Store 23/05 - $26
   ~ U-Store on 24/05 - $37.8 
   ~ Ovaltine Malt Drink 1 bottle on 26/05 - $25
   ~ U-Store 26/05 - $55.8
   ~ OK Store on 01/06 - $27.5
   ~ OK Store on 03/06 - $25.5
</t>
    </r>
    <r>
      <rPr>
        <sz val="11"/>
        <color rgb="FF000000"/>
        <rFont val="Calibri"/>
        <family val="2"/>
      </rPr>
      <t xml:space="preserve">   ~ Ovaltine Malt Drink 1 bottle on 04/06 - $25
   ~ UStore on 04/06 - $48.3</t>
    </r>
    <r>
      <rPr>
        <sz val="11"/>
        <color rgb="FF000000"/>
        <rFont val="Calibri"/>
        <family val="2"/>
        <charset val="1"/>
      </rPr>
      <t xml:space="preserve">
   ~ DS Groceries 06/06 - $74
   ~ UStore on 08/06 - $21.7
   ~ UStore on 10/06 - $19.5
   ~ UStore on 11/06 - $22.7
   ~ DS Groceries 12/06 - $23
   ~ Mitsui Bakery 12/06 - $18.5
   ~ OK Store 13/06 - $35
   ~ UStore on 14/06 - $35.3
   ~ UStore on 15/06 - $9.8
   ~ OK Store 16/06 - $33
   ~ OK Store 17/06 - $26
   ~ OK Store  17/06 - $107</t>
    </r>
  </si>
  <si>
    <t>1. 20th May 2026 - Give back the Water Fees paid for the government. - $112.3
2. 23rd May 2026 - Mother payback for the shopping. - $100
3. 17th June 2026 - Mother payback for the OK Store - $15</t>
  </si>
  <si>
    <t>1. $300 Rent my Luggage.
2. Borrow $500 from Lawrece.</t>
  </si>
  <si>
    <t>~ Change to OrdInary Cigarette - $360
~ 7-eleven Store buy additional 1 packet cigarette 18/06 - $81
~ OK Store buy additional 1 packet cigarette 18/06 - $81
~ Sunny Stationary 22/06 - $98
~ e-cigarette 07/07 - $300
~ OK Store buy additional 1 packet cigarette 11/07 - $78
~ Brought 3 packets of e-cigarette buds 12/07 - $430</t>
  </si>
  <si>
    <t>~ Food - $300 (108.9)
   ~ ParkNShop 27/06 - $108.9
~ Snack And Drinks - $400 ($761.4)
   ~ OK Store 18/06 - $67
   ~ Chuk Yuen Store 18/06 - $4
   ~ Best Mart 360 18/06 - $25
   ~ Wellcome Supermarket 18/06 - $80.9
   ~ Ustore 18/06 - $48.4
   ~ Yummy Bread 18/06 - $16
   ~ OK Store 21/06 - $30
   ~ DS Groceries 22/06 - $55
   ~ UStore 22/06 - $29.6
   ~ UStore 26/06 - $95.7
   ~ Ustore 28/06 - $31
   ~ OK Store 01/07 - $24
   ~ OK Store 05/07 - $113.1
   ~ OK Store 07/07 - $43.1
   ~ OK Store 11/07 - $18
   ~ Ustore 14/07 - $55.6
   ~ Best Mart 360 16/07 - $25</t>
  </si>
  <si>
    <t>1. Payback For Clothes Washing Detergent.
2. Borrow $100 from Mom.</t>
  </si>
  <si>
    <t>1. Topup For Octopus Card (Credit $100).
2. Topup For Octopus Card (Credit $100) 19/07.</t>
  </si>
  <si>
    <t xml:space="preserve">~ Trip to MetroHotel Mong Kok - $4.6
~ Debit For Octopus Card ($100) on 22/06.
~ Round Trip to Hollywood Plaza on 28/06 - $4
~ Round Trip to East Kowloon Hospital 06/07 - $4
~ Round Trip to Airport 08/07 - $7.4
~ Debit For Octopus Card ($100) on 19/07.
~ Round Trip to Kwai Chung Eldery Hospital 19/07 - $5.5
</t>
  </si>
  <si>
    <t>~ Payback $500 to Lawrence
~ Payback $100 to Mom</t>
  </si>
  <si>
    <t>21st July 2026</t>
  </si>
  <si>
    <t>Cancel hair cut for this current month.</t>
  </si>
  <si>
    <t>06th Aug 2026</t>
  </si>
  <si>
    <t>Debts Or Expenses For the Comming April 20th - May 19th 2026</t>
  </si>
  <si>
    <t>Debts Or Expenses For the Coming May 20th - June 17th 2026</t>
  </si>
  <si>
    <t>Debts Or Expenses For the Comming June 18th - July 19th 2026</t>
  </si>
  <si>
    <t>Debts Or Expenses For the Comming July 20th - August 19th 2026</t>
  </si>
  <si>
    <t>Debts Or Expenses For the Coming August 20th - September 17th 2026</t>
  </si>
  <si>
    <t>Debts Or Expenses For the Comming September 18th - October 19th 2026</t>
  </si>
  <si>
    <t>20th August 2026</t>
  </si>
  <si>
    <t>1. Borrow $100
2. Use Mother Credit Card for shopping HKTVmall. $670.4</t>
  </si>
  <si>
    <t>~ Food
~ Snack And Drinks
   ~ Ok Store 20/07 - $15
   ~ Ok Store 21/07 - $28.4
   ~ Wellcome supermarket 21/07 - $138.4
   ~ Yummy Bread Store 21/07 - $13
   ~ Wellcome supermarket 22/07 - $36
   ~ Ustore 22/07 - $36.6
   ~ Ok Store 25/07 - $32
   ~ Wellcome supermarket 25/07 - $36
   ~ Ustore 27/07 - $24.9
   ~ OK Store 29/07 - $28.5
   ~ Buy a coke at Kwai Chung Eldery Hospital 05/08 - $6.5
   ~ Best Mart 360 05/08 - $26.9
   ~ Ustore 09/08 - $24.9
   ~ HKTVmall 18/08 - $670.4</t>
  </si>
  <si>
    <t>~ OK Store buy additional 1 packet cigarette 20/07 - $78
~ Additional transport fees for e-cigarette 20/07 - $40
~ HKTVmall - Microsoft Office 365 1 year subscribtion 30/07 - $299
~ Round Trip to Kowloon East Hospital 03/08 - $4
~ Round Trip to Kwai Chung Eldery Hospital 05/08 - $3.5
~ Round Trip to Kwai Chung Eldery Hospital 16/08 - $3.5
~ OK Store buy additional 1 packet cigarette 18/08 - $78
~ Single Trip from chuk yuen to Temple Mall 19/08 - $2</t>
  </si>
  <si>
    <t>23rd August 2026</t>
  </si>
  <si>
    <t>Alipay</t>
  </si>
  <si>
    <t>A discount of $3.08 for iHerb payment</t>
  </si>
  <si>
    <t>2nd September 2026</t>
  </si>
  <si>
    <t>1. Borrow $60</t>
  </si>
  <si>
    <t>18th September 2026</t>
  </si>
  <si>
    <t>3rd September 2026</t>
  </si>
  <si>
    <t>Brother</t>
  </si>
  <si>
    <t>1. A gift for birthday $1000 from Lawrence</t>
  </si>
  <si>
    <t>~ Payback $100 to Mom
~ Payback $670.4 to Mom (HKTVmall Online Shopping)
~ Payback $60 to Mom</t>
  </si>
  <si>
    <t>~ Uniqlo (buy $300 - $30 discount)  - 03/09
    ~ UNISEX EZY BARREL JEANS (INSEAM 72-78cm) 488630 / 492035 -$299
    ~ UNISEX ULTRA STRETCH ACTIVE SHORTS (INSEAM 18-21.5cm) 482317 - $99
    ~ MEN COTTON BOXER BRIEFS 482600- $29 x 2</t>
  </si>
  <si>
    <t>~ iHerb Aveeno Lotion 23/08 - $136.64
~ Watsons Revlon color silk 17/09 - $59.9</t>
  </si>
  <si>
    <t>~ Additional transport fees for e-cigarette 17/09 - $50
~ Round Trip to East Kowloon hospital 02/10 - $4</t>
  </si>
  <si>
    <t>Partial Food And Snack Prepaid on the Previous Month
~ Food
~ Snack And Drinks</t>
  </si>
  <si>
    <t>1. Top up $50 for Octopus
2. Top up $50 for Octopus 03/09</t>
  </si>
  <si>
    <t>~ Debit For Octopus Card ($50). 20/08
~ OK Store buy additional 1 packet cigarette 20/08 - $78
~ Mail Chuk Yuen Post Office - $2.4
~ Additional transport fees for e-cigarette 20/08 - $50
~ Paid Water Supplies Fees 20/08 - $74.1
~ Round Trip to East Kowloon hospital 31/08 - $4
~ Round Trip to East Kowloon hospital 03/09 - $4
~ Debit For Octopus Card ($50). 03/09</t>
  </si>
  <si>
    <t>Partial Food And Snack Prepaid on the Previous Month
~ Food
   ~ HKTV mall 24/08 - $211.4
   ~ HKTV mall 03/09 - $436.5
~ Snack And Drinks
   ~ OK Store 20/08 - $8.5
   ~ Ustore 03/09 - $55.2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</si>
</sst>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$]#,##0.00"/>
    <numFmt numFmtId="165" formatCode="[$$]#,##0.00;[$$]\-#,##0.00"/>
    <numFmt numFmtId="166" formatCode="dd\ mmmm\ yyyy"/>
    <numFmt numFmtId="167" formatCode="d\ mmmm\ yyyy"/>
    <numFmt numFmtId="168" formatCode="[$$-3C09]#,##0.00"/>
  </numFmts>
  <fonts count="17" x14ac:knownFonts="1">
    <font>
      <sz val="11"/>
      <color theme="1"/>
      <name val="Calibri"/>
      <charset val="134"/>
    </font>
    <font>
      <b/>
      <sz val="16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4A86E8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5B9BD5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1"/>
      <color theme="4" tint="-0.249977111117893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4"/>
        <bgColor rgb="FF4A86E8"/>
      </patternFill>
    </fill>
    <fill>
      <patternFill patternType="solid">
        <fgColor rgb="FF00FF00"/>
        <bgColor rgb="FF33CCCC"/>
      </patternFill>
    </fill>
    <fill>
      <patternFill patternType="solid">
        <fgColor rgb="FFFF0000"/>
        <bgColor rgb="FF993300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505050"/>
      </left>
      <right/>
      <top/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9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2" fillId="3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vertical="center"/>
    </xf>
    <xf numFmtId="0" fontId="4" fillId="3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vertical="center" wrapText="1"/>
    </xf>
    <xf numFmtId="0" fontId="5" fillId="4" borderId="0" xfId="0" applyFont="1" applyFill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165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 wrapText="1"/>
    </xf>
    <xf numFmtId="164" fontId="0" fillId="0" borderId="5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4" fontId="0" fillId="0" borderId="7" xfId="0" applyNumberFormat="1" applyBorder="1" applyAlignment="1">
      <alignment horizontal="left" vertical="center" wrapText="1"/>
    </xf>
    <xf numFmtId="16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horizontal="left" vertical="center" wrapText="1"/>
    </xf>
    <xf numFmtId="0" fontId="0" fillId="0" borderId="7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7" fillId="0" borderId="3" xfId="0" applyFont="1" applyBorder="1" applyAlignment="1">
      <alignment horizontal="right" vertical="center" wrapText="1"/>
    </xf>
    <xf numFmtId="165" fontId="8" fillId="0" borderId="3" xfId="0" applyNumberFormat="1" applyFont="1" applyBorder="1" applyAlignment="1">
      <alignment vertical="center"/>
    </xf>
    <xf numFmtId="0" fontId="5" fillId="4" borderId="5" xfId="0" applyFont="1" applyFill="1" applyBorder="1" applyAlignment="1">
      <alignment vertical="center" wrapText="1"/>
    </xf>
    <xf numFmtId="0" fontId="5" fillId="4" borderId="5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right" vertical="center"/>
    </xf>
    <xf numFmtId="49" fontId="0" fillId="0" borderId="1" xfId="0" applyNumberFormat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165" fontId="0" fillId="0" borderId="1" xfId="0" applyNumberFormat="1" applyBorder="1" applyAlignment="1">
      <alignment vertical="center"/>
    </xf>
    <xf numFmtId="0" fontId="7" fillId="0" borderId="1" xfId="0" applyFont="1" applyBorder="1" applyAlignment="1">
      <alignment horizontal="right" vertical="center" wrapText="1"/>
    </xf>
    <xf numFmtId="165" fontId="8" fillId="0" borderId="1" xfId="0" applyNumberFormat="1" applyFont="1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5" xfId="0" applyNumberForma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164" fontId="0" fillId="0" borderId="5" xfId="0" applyNumberFormat="1" applyBorder="1" applyAlignment="1">
      <alignment horizontal="right" vertical="center"/>
    </xf>
    <xf numFmtId="165" fontId="11" fillId="0" borderId="1" xfId="0" applyNumberFormat="1" applyFont="1" applyBorder="1" applyAlignment="1">
      <alignment vertical="center"/>
    </xf>
    <xf numFmtId="0" fontId="12" fillId="0" borderId="0" xfId="0" applyFont="1" applyAlignment="1">
      <alignment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vertical="center"/>
    </xf>
    <xf numFmtId="164" fontId="13" fillId="0" borderId="4" xfId="0" applyNumberFormat="1" applyFont="1" applyBorder="1" applyAlignment="1">
      <alignment vertical="center"/>
    </xf>
    <xf numFmtId="168" fontId="0" fillId="0" borderId="1" xfId="0" applyNumberFormat="1" applyBorder="1" applyAlignment="1">
      <alignment vertical="center"/>
    </xf>
    <xf numFmtId="164" fontId="13" fillId="3" borderId="1" xfId="0" applyNumberFormat="1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14" fillId="0" borderId="1" xfId="0" applyFont="1" applyBorder="1" applyAlignment="1">
      <alignment vertical="center" wrapText="1"/>
    </xf>
    <xf numFmtId="0" fontId="0" fillId="0" borderId="15" xfId="0" applyBorder="1" applyAlignment="1">
      <alignment vertical="center" wrapText="1"/>
    </xf>
    <xf numFmtId="165" fontId="0" fillId="0" borderId="15" xfId="0" applyNumberFormat="1" applyBorder="1" applyAlignment="1">
      <alignment vertical="center"/>
    </xf>
    <xf numFmtId="0" fontId="14" fillId="0" borderId="8" xfId="0" applyFont="1" applyBorder="1" applyAlignment="1">
      <alignment vertical="center" wrapText="1"/>
    </xf>
    <xf numFmtId="0" fontId="14" fillId="0" borderId="1" xfId="0" applyFont="1" applyBorder="1"/>
    <xf numFmtId="164" fontId="13" fillId="3" borderId="4" xfId="0" applyNumberFormat="1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/>
    </xf>
    <xf numFmtId="0" fontId="0" fillId="0" borderId="15" xfId="0" applyBorder="1" applyAlignment="1">
      <alignment horizontal="left" vertical="center"/>
    </xf>
    <xf numFmtId="0" fontId="14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4" fillId="4" borderId="3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14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14" fillId="0" borderId="10" xfId="0" applyFont="1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14" fillId="0" borderId="10" xfId="0" applyFont="1" applyBorder="1" applyAlignment="1">
      <alignment horizontal="left"/>
    </xf>
    <xf numFmtId="0" fontId="0" fillId="0" borderId="9" xfId="0" applyBorder="1" applyAlignment="1">
      <alignment horizontal="left"/>
    </xf>
    <xf numFmtId="0" fontId="9" fillId="2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vertical="center" wrapText="1"/>
    </xf>
    <xf numFmtId="0" fontId="0" fillId="5" borderId="3" xfId="0" applyFill="1" applyBorder="1" applyAlignment="1">
      <alignment vertical="center" wrapText="1"/>
    </xf>
    <xf numFmtId="0" fontId="0" fillId="5" borderId="1" xfId="0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7" fontId="6" fillId="0" borderId="1" xfId="0" applyNumberFormat="1" applyFont="1" applyBorder="1" applyAlignment="1">
      <alignment horizontal="left" vertical="center" wrapText="1"/>
    </xf>
    <xf numFmtId="166" fontId="14" fillId="0" borderId="1" xfId="0" applyNumberFormat="1" applyFont="1" applyBorder="1" applyAlignment="1">
      <alignment horizontal="left" vertical="center" wrapText="1"/>
    </xf>
    <xf numFmtId="166" fontId="0" fillId="0" borderId="1" xfId="0" applyNumberFormat="1" applyBorder="1" applyAlignment="1">
      <alignment horizontal="left" vertical="center" wrapText="1"/>
    </xf>
    <xf numFmtId="166" fontId="0" fillId="0" borderId="1" xfId="0" applyNumberFormat="1" applyBorder="1" applyAlignment="1">
      <alignment horizontal="left" vertical="center"/>
    </xf>
    <xf numFmtId="167" fontId="0" fillId="0" borderId="3" xfId="0" applyNumberForma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167" fontId="0" fillId="0" borderId="1" xfId="0" applyNumberFormat="1" applyBorder="1" applyAlignment="1">
      <alignment horizontal="center" vertical="center"/>
    </xf>
    <xf numFmtId="167" fontId="14" fillId="0" borderId="10" xfId="0" applyNumberFormat="1" applyFont="1" applyBorder="1" applyAlignment="1">
      <alignment horizontal="left" vertical="center" wrapText="1"/>
    </xf>
    <xf numFmtId="167" fontId="0" fillId="0" borderId="9" xfId="0" applyNumberFormat="1" applyBorder="1" applyAlignment="1">
      <alignment horizontal="left" vertical="center"/>
    </xf>
    <xf numFmtId="0" fontId="11" fillId="0" borderId="1" xfId="0" applyFont="1" applyBorder="1" applyAlignment="1">
      <alignment horizontal="right" vertical="center"/>
    </xf>
    <xf numFmtId="0" fontId="4" fillId="6" borderId="3" xfId="0" applyFont="1" applyFill="1" applyBorder="1" applyAlignment="1">
      <alignment horizontal="center" vertical="center"/>
    </xf>
    <xf numFmtId="167" fontId="14" fillId="0" borderId="1" xfId="0" applyNumberFormat="1" applyFont="1" applyBorder="1" applyAlignment="1">
      <alignment horizontal="left" vertical="center" wrapText="1"/>
    </xf>
    <xf numFmtId="167" fontId="0" fillId="0" borderId="1" xfId="0" applyNumberFormat="1" applyBorder="1" applyAlignment="1">
      <alignment horizontal="left" vertical="center"/>
    </xf>
    <xf numFmtId="167" fontId="14" fillId="0" borderId="9" xfId="0" applyNumberFormat="1" applyFont="1" applyBorder="1" applyAlignment="1">
      <alignment horizontal="left" vertical="center" wrapText="1"/>
    </xf>
    <xf numFmtId="0" fontId="0" fillId="0" borderId="6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7" fontId="6" fillId="0" borderId="10" xfId="0" applyNumberFormat="1" applyFont="1" applyBorder="1" applyAlignment="1">
      <alignment horizontal="left" vertical="center" wrapText="1"/>
    </xf>
    <xf numFmtId="167" fontId="6" fillId="0" borderId="9" xfId="0" applyNumberFormat="1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5" fillId="4" borderId="5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left" vertical="center" wrapText="1"/>
    </xf>
    <xf numFmtId="0" fontId="14" fillId="0" borderId="10" xfId="0" applyFont="1" applyBorder="1" applyAlignment="1">
      <alignment horizontal="left" vertical="center" wrapText="1"/>
    </xf>
    <xf numFmtId="0" fontId="14" fillId="0" borderId="9" xfId="0" applyFont="1" applyBorder="1" applyAlignment="1">
      <alignment horizontal="left" vertical="center"/>
    </xf>
    <xf numFmtId="0" fontId="10" fillId="0" borderId="5" xfId="0" applyFont="1" applyBorder="1" applyAlignment="1">
      <alignment horizontal="center" vertical="center"/>
    </xf>
    <xf numFmtId="166" fontId="0" fillId="0" borderId="9" xfId="0" applyNumberFormat="1" applyBorder="1" applyAlignment="1">
      <alignment horizontal="left" vertical="center" wrapText="1"/>
    </xf>
    <xf numFmtId="166" fontId="0" fillId="0" borderId="9" xfId="0" applyNumberFormat="1" applyBorder="1" applyAlignment="1">
      <alignment horizontal="left" vertical="center"/>
    </xf>
    <xf numFmtId="166" fontId="6" fillId="0" borderId="1" xfId="0" applyNumberFormat="1" applyFont="1" applyBorder="1" applyAlignment="1">
      <alignment horizontal="left" vertical="center"/>
    </xf>
    <xf numFmtId="167" fontId="0" fillId="0" borderId="1" xfId="0" applyNumberFormat="1" applyBorder="1" applyAlignment="1">
      <alignment horizontal="left" vertical="center" wrapText="1"/>
    </xf>
    <xf numFmtId="0" fontId="6" fillId="0" borderId="10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</cellXfs>
  <cellStyles count="1">
    <cellStyle name="Normal" xfId="0" builtinId="0"/>
  </cellStyles>
  <dxfs count="8"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FFFCC"/>
      <rgbColor rgb="FFCCFFFF"/>
      <rgbColor rgb="FF660066"/>
      <rgbColor rgb="FFFF8080"/>
      <rgbColor rgb="FF2E75B6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4A86E8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50"/>
  <sheetViews>
    <sheetView tabSelected="1" zoomScale="150" zoomScaleNormal="150" workbookViewId="0">
      <selection activeCell="C5" sqref="C5"/>
    </sheetView>
  </sheetViews>
  <sheetFormatPr baseColWidth="10" defaultColWidth="14.33203125" defaultRowHeight="15" customHeight="1" x14ac:dyDescent="0.2"/>
  <cols>
    <col min="1" max="1" width="21.5" customWidth="1"/>
    <col min="2" max="2" width="28" customWidth="1"/>
    <col min="3" max="3" width="41.83203125" customWidth="1"/>
    <col min="4" max="4" width="35.8320312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56" t="s">
        <v>0</v>
      </c>
      <c r="B1" s="56"/>
      <c r="C1" s="56"/>
      <c r="D1" s="56"/>
      <c r="E1" s="56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v>19.04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v>12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v>59.9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v>-6.4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SUM(C3:C7)</f>
        <v>84.539999999999992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57" t="s">
        <v>8</v>
      </c>
      <c r="B10" s="57"/>
      <c r="C10" s="57"/>
      <c r="D10" s="57"/>
      <c r="E10" s="57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58" t="s">
        <v>11</v>
      </c>
      <c r="D11" s="58"/>
      <c r="E11" s="4" t="s">
        <v>12</v>
      </c>
    </row>
    <row r="12" spans="1:25" ht="13.5" customHeight="1" x14ac:dyDescent="0.2">
      <c r="A12" s="15" t="s">
        <v>13</v>
      </c>
      <c r="B12" s="15" t="s">
        <v>14</v>
      </c>
      <c r="C12" s="101" t="s">
        <v>15</v>
      </c>
      <c r="D12" s="101"/>
      <c r="E12" s="16">
        <v>2485</v>
      </c>
    </row>
    <row r="13" spans="1:25" ht="29.25" customHeight="1" x14ac:dyDescent="0.2">
      <c r="A13" s="17" t="s">
        <v>13</v>
      </c>
      <c r="B13" s="17" t="s">
        <v>16</v>
      </c>
      <c r="C13" s="102" t="s">
        <v>17</v>
      </c>
      <c r="D13" s="102"/>
      <c r="E13" s="18">
        <v>12</v>
      </c>
    </row>
    <row r="14" spans="1:25" ht="29.25" customHeight="1" x14ac:dyDescent="0.2">
      <c r="A14" s="6"/>
      <c r="B14" s="6" t="s">
        <v>18</v>
      </c>
      <c r="C14" s="61" t="s">
        <v>19</v>
      </c>
      <c r="D14" s="61"/>
      <c r="E14" s="19">
        <v>900</v>
      </c>
    </row>
    <row r="15" spans="1:25" ht="29.25" customHeight="1" x14ac:dyDescent="0.2">
      <c r="A15" s="6"/>
      <c r="B15" s="6" t="s">
        <v>20</v>
      </c>
      <c r="C15" s="61" t="s">
        <v>21</v>
      </c>
      <c r="D15" s="61"/>
      <c r="E15" s="19">
        <v>1050</v>
      </c>
    </row>
    <row r="16" spans="1:25" ht="29.25" customHeight="1" x14ac:dyDescent="0.2">
      <c r="A16" s="6"/>
      <c r="B16" s="6" t="s">
        <v>22</v>
      </c>
      <c r="C16" s="61" t="s">
        <v>23</v>
      </c>
      <c r="D16" s="61"/>
      <c r="E16" s="19">
        <v>700</v>
      </c>
    </row>
    <row r="17" spans="1:25" ht="58.5" customHeight="1" x14ac:dyDescent="0.2">
      <c r="A17" s="20">
        <v>46138</v>
      </c>
      <c r="B17" s="6" t="s">
        <v>24</v>
      </c>
      <c r="C17" s="103" t="s">
        <v>25</v>
      </c>
      <c r="D17" s="103"/>
      <c r="E17" s="21">
        <v>187.6</v>
      </c>
    </row>
    <row r="18" spans="1:25" ht="29.25" customHeight="1" x14ac:dyDescent="0.2">
      <c r="A18" s="22"/>
      <c r="B18" s="6" t="s">
        <v>16</v>
      </c>
      <c r="C18" s="104" t="s">
        <v>26</v>
      </c>
      <c r="D18" s="104"/>
      <c r="E18" s="19">
        <v>118</v>
      </c>
    </row>
    <row r="19" spans="1:25" ht="29.25" customHeight="1" x14ac:dyDescent="0.2">
      <c r="A19" s="23" t="s">
        <v>27</v>
      </c>
      <c r="B19" s="53" t="s">
        <v>28</v>
      </c>
      <c r="C19" s="105" t="s">
        <v>29</v>
      </c>
      <c r="D19" s="105"/>
      <c r="E19" s="21">
        <v>50</v>
      </c>
    </row>
    <row r="20" spans="1:25" ht="13.5" customHeight="1" x14ac:dyDescent="0.2">
      <c r="A20" s="24"/>
      <c r="B20" s="24"/>
      <c r="C20" s="5"/>
      <c r="D20" s="25" t="s">
        <v>30</v>
      </c>
      <c r="E20" s="26">
        <f>SUM(E12:E19)</f>
        <v>5502.6</v>
      </c>
    </row>
    <row r="21" spans="1:25" ht="13.5" customHeight="1" x14ac:dyDescent="0.2">
      <c r="B21" s="24"/>
    </row>
    <row r="22" spans="1:25" ht="13.5" customHeight="1" x14ac:dyDescent="0.2">
      <c r="A22" s="62" t="s">
        <v>31</v>
      </c>
      <c r="B22" s="62"/>
      <c r="C22" s="62"/>
      <c r="D22" s="62"/>
      <c r="E22" s="62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3.5" customHeight="1" x14ac:dyDescent="0.2">
      <c r="A23" s="27" t="s">
        <v>9</v>
      </c>
      <c r="B23" s="28" t="s">
        <v>10</v>
      </c>
      <c r="C23" s="106" t="s">
        <v>11</v>
      </c>
      <c r="D23" s="106"/>
      <c r="E23" s="3" t="s">
        <v>12</v>
      </c>
    </row>
    <row r="24" spans="1:25" ht="13.5" customHeight="1" x14ac:dyDescent="0.2">
      <c r="A24" s="6" t="s">
        <v>32</v>
      </c>
      <c r="B24" s="6" t="s">
        <v>14</v>
      </c>
      <c r="C24" s="61" t="s">
        <v>15</v>
      </c>
      <c r="D24" s="61"/>
      <c r="E24" s="29">
        <v>2485</v>
      </c>
    </row>
    <row r="25" spans="1:25" ht="13.5" customHeight="1" x14ac:dyDescent="0.2">
      <c r="A25" s="30" t="s">
        <v>33</v>
      </c>
      <c r="B25" s="6" t="s">
        <v>14</v>
      </c>
      <c r="C25" s="61" t="s">
        <v>34</v>
      </c>
      <c r="D25" s="61"/>
      <c r="E25" s="19">
        <v>2140</v>
      </c>
    </row>
    <row r="26" spans="1:25" ht="60.75" customHeight="1" x14ac:dyDescent="0.2">
      <c r="A26" s="30"/>
      <c r="B26" s="6" t="s">
        <v>24</v>
      </c>
      <c r="C26" s="60" t="s">
        <v>114</v>
      </c>
      <c r="D26" s="103"/>
      <c r="E26" s="19">
        <v>227.3</v>
      </c>
    </row>
    <row r="27" spans="1:25" ht="13.5" customHeight="1" x14ac:dyDescent="0.2">
      <c r="A27" s="30" t="s">
        <v>32</v>
      </c>
      <c r="B27" s="6" t="s">
        <v>18</v>
      </c>
      <c r="C27" s="104" t="s">
        <v>35</v>
      </c>
      <c r="D27" s="104"/>
      <c r="E27" s="19">
        <v>205</v>
      </c>
    </row>
    <row r="28" spans="1:25" ht="60.75" customHeight="1" x14ac:dyDescent="0.2">
      <c r="A28" s="30"/>
      <c r="B28" s="6" t="s">
        <v>28</v>
      </c>
      <c r="C28" s="107" t="s">
        <v>36</v>
      </c>
      <c r="D28" s="107"/>
      <c r="E28" s="19">
        <v>150</v>
      </c>
    </row>
    <row r="29" spans="1:25" ht="13.5" customHeight="1" x14ac:dyDescent="0.2">
      <c r="A29" s="24"/>
      <c r="B29" s="24"/>
      <c r="C29" s="5"/>
      <c r="D29" s="25" t="s">
        <v>30</v>
      </c>
      <c r="E29" s="26">
        <f>SUM(E24:E28)</f>
        <v>5207.3</v>
      </c>
    </row>
    <row r="30" spans="1:25" ht="13.5" customHeight="1" x14ac:dyDescent="0.2">
      <c r="A30" s="24"/>
      <c r="B30" s="24"/>
    </row>
    <row r="31" spans="1:25" ht="13.5" customHeight="1" x14ac:dyDescent="0.2">
      <c r="A31" s="62" t="s">
        <v>37</v>
      </c>
      <c r="B31" s="62"/>
      <c r="C31" s="62"/>
      <c r="D31" s="62"/>
      <c r="E31" s="62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 spans="1:25" ht="13.5" customHeight="1" x14ac:dyDescent="0.2">
      <c r="A32" s="31" t="s">
        <v>9</v>
      </c>
      <c r="B32" s="32" t="s">
        <v>10</v>
      </c>
      <c r="C32" s="63" t="s">
        <v>11</v>
      </c>
      <c r="D32" s="63"/>
      <c r="E32" s="2" t="s">
        <v>12</v>
      </c>
    </row>
    <row r="33" spans="1:5" ht="13.5" customHeight="1" x14ac:dyDescent="0.2">
      <c r="A33" s="6" t="s">
        <v>38</v>
      </c>
      <c r="B33" s="6" t="s">
        <v>14</v>
      </c>
      <c r="C33" s="61" t="s">
        <v>15</v>
      </c>
      <c r="D33" s="61"/>
      <c r="E33" s="33">
        <v>2485</v>
      </c>
    </row>
    <row r="34" spans="1:5" ht="13.5" customHeight="1" x14ac:dyDescent="0.2">
      <c r="A34" s="30"/>
      <c r="B34" s="6" t="s">
        <v>16</v>
      </c>
      <c r="C34" s="61" t="s">
        <v>39</v>
      </c>
      <c r="D34" s="61"/>
      <c r="E34" s="33">
        <v>118</v>
      </c>
    </row>
    <row r="35" spans="1:5" ht="46.5" customHeight="1" x14ac:dyDescent="0.2">
      <c r="A35" s="30"/>
      <c r="B35" s="50" t="s">
        <v>24</v>
      </c>
      <c r="C35" s="108" t="s">
        <v>118</v>
      </c>
      <c r="D35" s="67"/>
      <c r="E35" s="33">
        <v>170</v>
      </c>
    </row>
    <row r="36" spans="1:5" ht="42.75" customHeight="1" x14ac:dyDescent="0.2">
      <c r="A36" s="30"/>
      <c r="B36" s="50" t="s">
        <v>80</v>
      </c>
      <c r="C36" s="108" t="s">
        <v>115</v>
      </c>
      <c r="D36" s="109"/>
      <c r="E36" s="33">
        <v>800</v>
      </c>
    </row>
    <row r="37" spans="1:5" ht="33.75" customHeight="1" x14ac:dyDescent="0.2">
      <c r="A37" s="6"/>
      <c r="B37" s="50" t="s">
        <v>28</v>
      </c>
      <c r="C37" s="60" t="s">
        <v>119</v>
      </c>
      <c r="D37" s="61"/>
      <c r="E37" s="19">
        <v>200</v>
      </c>
    </row>
    <row r="38" spans="1:5" ht="13.5" customHeight="1" x14ac:dyDescent="0.2">
      <c r="A38" s="24"/>
      <c r="B38" s="24"/>
      <c r="C38" s="5"/>
      <c r="D38" s="34" t="s">
        <v>30</v>
      </c>
      <c r="E38" s="35">
        <f>SUM(E33:E37)</f>
        <v>3773</v>
      </c>
    </row>
    <row r="39" spans="1:5" ht="13.5" customHeight="1" x14ac:dyDescent="0.2">
      <c r="A39" s="24"/>
      <c r="B39" s="24"/>
    </row>
    <row r="40" spans="1:5" ht="16" x14ac:dyDescent="0.2">
      <c r="A40" s="70" t="s">
        <v>40</v>
      </c>
      <c r="B40" s="70"/>
      <c r="C40" s="70"/>
    </row>
    <row r="41" spans="1:5" ht="17" x14ac:dyDescent="0.2">
      <c r="A41" s="1" t="s">
        <v>10</v>
      </c>
      <c r="B41" s="1" t="s">
        <v>11</v>
      </c>
      <c r="C41" s="36" t="s">
        <v>12</v>
      </c>
      <c r="D41" s="37"/>
    </row>
    <row r="42" spans="1:5" ht="13.5" customHeight="1" x14ac:dyDescent="0.2">
      <c r="A42" s="71" t="s">
        <v>41</v>
      </c>
      <c r="B42" s="71"/>
      <c r="C42" s="71"/>
    </row>
    <row r="43" spans="1:5" ht="13.5" customHeight="1" x14ac:dyDescent="0.2">
      <c r="A43" s="50" t="s">
        <v>17</v>
      </c>
      <c r="B43" s="50" t="s">
        <v>112</v>
      </c>
      <c r="C43" s="33">
        <v>78</v>
      </c>
    </row>
    <row r="44" spans="1:5" ht="13.5" customHeight="1" x14ac:dyDescent="0.2">
      <c r="A44" s="17" t="s">
        <v>42</v>
      </c>
      <c r="B44" s="17" t="s">
        <v>43</v>
      </c>
      <c r="C44" s="38">
        <v>118</v>
      </c>
    </row>
    <row r="45" spans="1:5" ht="13.5" customHeight="1" x14ac:dyDescent="0.2">
      <c r="A45" s="17" t="s">
        <v>44</v>
      </c>
      <c r="B45" s="17" t="s">
        <v>45</v>
      </c>
      <c r="C45" s="38">
        <v>138</v>
      </c>
    </row>
    <row r="46" spans="1:5" ht="13.5" customHeight="1" x14ac:dyDescent="0.2">
      <c r="A46" s="7"/>
      <c r="B46" s="6" t="s">
        <v>46</v>
      </c>
      <c r="C46" s="39">
        <f>SUM(C43:C45)</f>
        <v>334</v>
      </c>
    </row>
    <row r="47" spans="1:5" ht="13.5" customHeight="1" x14ac:dyDescent="0.2">
      <c r="A47" s="72" t="s">
        <v>47</v>
      </c>
      <c r="B47" s="72"/>
      <c r="C47" s="72"/>
    </row>
    <row r="48" spans="1:5" ht="13.5" customHeight="1" x14ac:dyDescent="0.2">
      <c r="A48" s="72"/>
      <c r="B48" s="72"/>
      <c r="C48" s="72"/>
    </row>
    <row r="49" spans="1:3" ht="13.5" customHeight="1" x14ac:dyDescent="0.2">
      <c r="A49" s="6" t="s">
        <v>48</v>
      </c>
      <c r="B49" s="6"/>
      <c r="C49" s="29">
        <v>0</v>
      </c>
    </row>
    <row r="50" spans="1:3" ht="13.5" customHeight="1" x14ac:dyDescent="0.2">
      <c r="A50" s="6" t="s">
        <v>49</v>
      </c>
      <c r="B50" s="6"/>
      <c r="C50" s="19">
        <v>0</v>
      </c>
    </row>
    <row r="51" spans="1:3" ht="13.5" customHeight="1" x14ac:dyDescent="0.2">
      <c r="A51" s="6" t="s">
        <v>50</v>
      </c>
      <c r="B51" s="6"/>
      <c r="C51" s="19">
        <v>0</v>
      </c>
    </row>
    <row r="52" spans="1:3" ht="13.5" customHeight="1" x14ac:dyDescent="0.2">
      <c r="A52" s="6" t="s">
        <v>51</v>
      </c>
      <c r="B52" s="6"/>
      <c r="C52" s="19">
        <v>0</v>
      </c>
    </row>
    <row r="53" spans="1:3" ht="13.5" customHeight="1" x14ac:dyDescent="0.2">
      <c r="A53" s="6"/>
      <c r="B53" s="6" t="s">
        <v>52</v>
      </c>
      <c r="C53" s="39">
        <f>SUM(C49:C52)</f>
        <v>0</v>
      </c>
    </row>
    <row r="54" spans="1:3" ht="13.5" customHeight="1" x14ac:dyDescent="0.2">
      <c r="A54" s="71" t="s">
        <v>53</v>
      </c>
      <c r="B54" s="71"/>
      <c r="C54" s="71"/>
    </row>
    <row r="55" spans="1:3" ht="13.5" customHeight="1" x14ac:dyDescent="0.2">
      <c r="A55" s="6" t="s">
        <v>54</v>
      </c>
      <c r="B55" s="6" t="s">
        <v>55</v>
      </c>
      <c r="C55" s="33">
        <v>0</v>
      </c>
    </row>
    <row r="56" spans="1:3" ht="13.5" customHeight="1" x14ac:dyDescent="0.2">
      <c r="A56" s="6" t="s">
        <v>56</v>
      </c>
      <c r="B56" s="6" t="s">
        <v>57</v>
      </c>
      <c r="C56" s="33">
        <v>0</v>
      </c>
    </row>
    <row r="57" spans="1:3" ht="13.5" customHeight="1" x14ac:dyDescent="0.2">
      <c r="A57" s="6"/>
      <c r="B57" s="6" t="s">
        <v>58</v>
      </c>
      <c r="C57" s="39">
        <f>SUM(C55:C56)</f>
        <v>0</v>
      </c>
    </row>
    <row r="58" spans="1:3" ht="13.5" customHeight="1" x14ac:dyDescent="0.2">
      <c r="A58" s="71" t="s">
        <v>59</v>
      </c>
      <c r="B58" s="71"/>
      <c r="C58" s="71"/>
    </row>
    <row r="59" spans="1:3" ht="13.5" customHeight="1" x14ac:dyDescent="0.2">
      <c r="A59" s="6" t="s">
        <v>60</v>
      </c>
      <c r="B59" s="6" t="s">
        <v>61</v>
      </c>
      <c r="C59" s="29">
        <v>0</v>
      </c>
    </row>
    <row r="60" spans="1:3" ht="13.5" customHeight="1" x14ac:dyDescent="0.2">
      <c r="A60" s="17"/>
      <c r="B60" s="17" t="s">
        <v>62</v>
      </c>
      <c r="C60" s="39">
        <f>SUM(C59)</f>
        <v>0</v>
      </c>
    </row>
    <row r="61" spans="1:3" ht="13.5" customHeight="1" x14ac:dyDescent="0.2">
      <c r="A61" s="71" t="s">
        <v>63</v>
      </c>
      <c r="B61" s="71"/>
      <c r="C61" s="71"/>
    </row>
    <row r="62" spans="1:3" ht="13.5" customHeight="1" x14ac:dyDescent="0.2">
      <c r="A62" s="6" t="s">
        <v>64</v>
      </c>
      <c r="B62" s="6" t="s">
        <v>65</v>
      </c>
      <c r="C62" s="29">
        <v>0</v>
      </c>
    </row>
    <row r="63" spans="1:3" ht="13.5" customHeight="1" x14ac:dyDescent="0.2">
      <c r="A63" s="6"/>
      <c r="B63" s="6" t="s">
        <v>66</v>
      </c>
      <c r="C63" s="39">
        <f>SUM(C62)</f>
        <v>0</v>
      </c>
    </row>
    <row r="64" spans="1:3" ht="13.5" customHeight="1" x14ac:dyDescent="0.2">
      <c r="A64" s="73" t="s">
        <v>67</v>
      </c>
      <c r="B64" s="73"/>
      <c r="C64" s="73"/>
    </row>
    <row r="65" spans="1:8" ht="13.5" customHeight="1" x14ac:dyDescent="0.2">
      <c r="A65" s="17" t="s">
        <v>68</v>
      </c>
      <c r="B65" s="5" t="s">
        <v>69</v>
      </c>
      <c r="C65" s="40">
        <v>0</v>
      </c>
    </row>
    <row r="66" spans="1:8" ht="13.5" customHeight="1" x14ac:dyDescent="0.2">
      <c r="A66" s="6" t="s">
        <v>70</v>
      </c>
      <c r="B66" s="6" t="s">
        <v>18</v>
      </c>
      <c r="C66" s="29">
        <v>900</v>
      </c>
    </row>
    <row r="67" spans="1:8" ht="32" x14ac:dyDescent="0.2">
      <c r="A67" s="6" t="s">
        <v>71</v>
      </c>
      <c r="B67" s="6" t="s">
        <v>72</v>
      </c>
      <c r="C67" s="29">
        <v>0</v>
      </c>
    </row>
    <row r="68" spans="1:8" ht="13.5" customHeight="1" x14ac:dyDescent="0.2">
      <c r="A68" s="6" t="s">
        <v>73</v>
      </c>
      <c r="B68" s="6" t="s">
        <v>74</v>
      </c>
      <c r="C68" s="29">
        <v>78</v>
      </c>
    </row>
    <row r="69" spans="1:8" ht="13.5" customHeight="1" x14ac:dyDescent="0.2">
      <c r="A69" s="6" t="s">
        <v>75</v>
      </c>
      <c r="B69" s="6"/>
      <c r="C69" s="29">
        <v>55</v>
      </c>
    </row>
    <row r="70" spans="1:8" ht="13.5" customHeight="1" x14ac:dyDescent="0.2">
      <c r="A70" s="7" t="s">
        <v>76</v>
      </c>
      <c r="B70" s="7" t="s">
        <v>77</v>
      </c>
      <c r="C70" s="19">
        <v>0</v>
      </c>
    </row>
    <row r="71" spans="1:8" ht="13.5" customHeight="1" x14ac:dyDescent="0.2">
      <c r="A71" s="7"/>
      <c r="B71" s="7" t="s">
        <v>78</v>
      </c>
      <c r="C71" s="39">
        <f>SUM(C65:C70)</f>
        <v>1033</v>
      </c>
    </row>
    <row r="72" spans="1:8" ht="13.5" customHeight="1" x14ac:dyDescent="0.2">
      <c r="A72" s="73" t="s">
        <v>79</v>
      </c>
      <c r="B72" s="73"/>
      <c r="C72" s="73"/>
    </row>
    <row r="73" spans="1:8" ht="13.5" customHeight="1" x14ac:dyDescent="0.2">
      <c r="A73" s="7" t="s">
        <v>24</v>
      </c>
      <c r="B73" s="7"/>
      <c r="C73" s="19">
        <v>0</v>
      </c>
    </row>
    <row r="74" spans="1:8" ht="13.5" customHeight="1" x14ac:dyDescent="0.2">
      <c r="A74" s="7" t="s">
        <v>80</v>
      </c>
      <c r="B74" s="7"/>
      <c r="C74" s="19">
        <v>0</v>
      </c>
    </row>
    <row r="75" spans="1:8" ht="13.5" customHeight="1" x14ac:dyDescent="0.2">
      <c r="A75" s="7"/>
      <c r="B75" s="7" t="s">
        <v>81</v>
      </c>
      <c r="C75" s="19">
        <f>SUM(C73:C74)</f>
        <v>0</v>
      </c>
    </row>
    <row r="76" spans="1:8" ht="13.5" customHeight="1" x14ac:dyDescent="0.2">
      <c r="A76" s="6"/>
      <c r="B76" s="34" t="s">
        <v>82</v>
      </c>
      <c r="C76" s="41">
        <f>C46+C53+C57+C60+C63+C71</f>
        <v>1367</v>
      </c>
      <c r="H76" s="42"/>
    </row>
    <row r="77" spans="1:8" ht="13.5" customHeight="1" x14ac:dyDescent="0.2">
      <c r="A77" s="24"/>
      <c r="B77" s="24"/>
    </row>
    <row r="78" spans="1:8" ht="13.5" customHeight="1" x14ac:dyDescent="0.2">
      <c r="A78" s="24"/>
      <c r="B78" s="24"/>
    </row>
    <row r="79" spans="1:8" ht="13.5" customHeight="1" x14ac:dyDescent="0.2">
      <c r="A79" s="74" t="s">
        <v>125</v>
      </c>
      <c r="B79" s="74"/>
      <c r="C79" s="74"/>
      <c r="D79" s="74"/>
      <c r="E79" s="74"/>
    </row>
    <row r="80" spans="1:8" ht="13.5" customHeight="1" x14ac:dyDescent="0.2">
      <c r="A80" s="75" t="s">
        <v>83</v>
      </c>
      <c r="B80" s="75"/>
      <c r="C80" s="75" t="s">
        <v>11</v>
      </c>
      <c r="D80" s="75"/>
      <c r="E80" s="44" t="s">
        <v>12</v>
      </c>
    </row>
    <row r="81" spans="1:5" ht="24" customHeight="1" x14ac:dyDescent="0.2">
      <c r="A81" s="110" t="s">
        <v>84</v>
      </c>
      <c r="B81" s="110"/>
      <c r="C81" s="77"/>
      <c r="D81" s="77"/>
      <c r="E81" s="7">
        <v>21.98</v>
      </c>
    </row>
    <row r="82" spans="1:5" x14ac:dyDescent="0.2">
      <c r="A82" s="77" t="s">
        <v>67</v>
      </c>
      <c r="B82" s="77"/>
      <c r="C82" s="111" t="s">
        <v>85</v>
      </c>
      <c r="D82" s="111"/>
      <c r="E82" s="45">
        <v>168</v>
      </c>
    </row>
    <row r="83" spans="1:5" ht="220.5" customHeight="1" x14ac:dyDescent="0.2">
      <c r="A83" s="77"/>
      <c r="B83" s="77"/>
      <c r="C83" s="111" t="s">
        <v>86</v>
      </c>
      <c r="D83" s="111"/>
      <c r="E83" s="45">
        <v>507.7</v>
      </c>
    </row>
    <row r="84" spans="1:5" x14ac:dyDescent="0.2">
      <c r="A84" s="77"/>
      <c r="B84" s="77"/>
      <c r="C84" s="111" t="s">
        <v>87</v>
      </c>
      <c r="D84" s="111"/>
      <c r="E84" s="45">
        <v>1728</v>
      </c>
    </row>
    <row r="85" spans="1:5" ht="17.25" customHeight="1" x14ac:dyDescent="0.2">
      <c r="A85" s="77"/>
      <c r="B85" s="77"/>
      <c r="C85" s="112" t="s">
        <v>88</v>
      </c>
      <c r="D85" s="112"/>
      <c r="E85" s="45">
        <v>50</v>
      </c>
    </row>
    <row r="86" spans="1:5" ht="17.25" customHeight="1" x14ac:dyDescent="0.2">
      <c r="A86" s="77"/>
      <c r="B86" s="77"/>
      <c r="C86" s="82" t="s">
        <v>89</v>
      </c>
      <c r="D86" s="82"/>
      <c r="E86" s="45">
        <v>418</v>
      </c>
    </row>
    <row r="87" spans="1:5" ht="17.25" customHeight="1" x14ac:dyDescent="0.2">
      <c r="A87" s="77"/>
      <c r="B87" s="77"/>
      <c r="C87" s="112" t="s">
        <v>90</v>
      </c>
      <c r="D87" s="112"/>
      <c r="E87" s="45">
        <v>697</v>
      </c>
    </row>
    <row r="88" spans="1:5" ht="42" customHeight="1" x14ac:dyDescent="0.2">
      <c r="A88" s="77"/>
      <c r="B88" s="77"/>
      <c r="C88" s="111" t="s">
        <v>91</v>
      </c>
      <c r="D88" s="111"/>
      <c r="E88" s="45">
        <v>5.4</v>
      </c>
    </row>
    <row r="89" spans="1:5" ht="17.25" customHeight="1" x14ac:dyDescent="0.2">
      <c r="A89" s="77"/>
      <c r="B89" s="77"/>
      <c r="C89" s="82" t="s">
        <v>92</v>
      </c>
      <c r="D89" s="82"/>
      <c r="E89" s="45">
        <v>136</v>
      </c>
    </row>
    <row r="90" spans="1:5" ht="17.25" customHeight="1" x14ac:dyDescent="0.2">
      <c r="A90" s="77"/>
      <c r="B90" s="77"/>
      <c r="C90" s="82" t="s">
        <v>93</v>
      </c>
      <c r="D90" s="82"/>
      <c r="E90" s="45">
        <v>112.3</v>
      </c>
    </row>
    <row r="91" spans="1:5" ht="17.25" customHeight="1" x14ac:dyDescent="0.2">
      <c r="A91" s="77"/>
      <c r="B91" s="77"/>
      <c r="C91" s="113" t="s">
        <v>94</v>
      </c>
      <c r="D91" s="113"/>
      <c r="E91" s="45">
        <v>366.38</v>
      </c>
    </row>
    <row r="92" spans="1:5" ht="13.5" customHeight="1" x14ac:dyDescent="0.2">
      <c r="A92" s="78" t="s">
        <v>95</v>
      </c>
      <c r="B92" s="78"/>
      <c r="C92" s="83"/>
      <c r="D92" s="83"/>
      <c r="E92" s="46">
        <f>C76</f>
        <v>1367</v>
      </c>
    </row>
    <row r="93" spans="1:5" ht="13.5" customHeight="1" x14ac:dyDescent="0.2">
      <c r="C93" s="84" t="s">
        <v>96</v>
      </c>
      <c r="D93" s="84"/>
      <c r="E93" s="47">
        <f>(E20+E81)-SUM(E82:E92)</f>
        <v>-31.199999999999818</v>
      </c>
    </row>
    <row r="94" spans="1:5" ht="13.5" customHeight="1" x14ac:dyDescent="0.2"/>
    <row r="95" spans="1:5" ht="13.5" customHeight="1" x14ac:dyDescent="0.2">
      <c r="A95" s="74" t="s">
        <v>126</v>
      </c>
      <c r="B95" s="74"/>
      <c r="C95" s="74"/>
      <c r="D95" s="74"/>
      <c r="E95" s="74"/>
    </row>
    <row r="96" spans="1:5" ht="13.5" customHeight="1" x14ac:dyDescent="0.2">
      <c r="A96" s="74" t="s">
        <v>83</v>
      </c>
      <c r="B96" s="74"/>
      <c r="C96" s="74" t="s">
        <v>11</v>
      </c>
      <c r="D96" s="74"/>
      <c r="E96" s="43" t="s">
        <v>12</v>
      </c>
    </row>
    <row r="97" spans="1:5" ht="13.5" customHeight="1" x14ac:dyDescent="0.2">
      <c r="A97" s="76" t="s">
        <v>97</v>
      </c>
      <c r="B97" s="76"/>
      <c r="C97" s="85"/>
      <c r="D97" s="85"/>
      <c r="E97" s="47">
        <f>E93</f>
        <v>-31.199999999999818</v>
      </c>
    </row>
    <row r="98" spans="1:5" ht="45.75" customHeight="1" x14ac:dyDescent="0.2">
      <c r="A98" s="77" t="s">
        <v>67</v>
      </c>
      <c r="B98" s="77"/>
      <c r="C98" s="81" t="s">
        <v>98</v>
      </c>
      <c r="D98" s="81"/>
      <c r="E98" s="48">
        <v>747.6</v>
      </c>
    </row>
    <row r="99" spans="1:5" ht="409" customHeight="1" x14ac:dyDescent="0.2">
      <c r="A99" s="77"/>
      <c r="B99" s="77"/>
      <c r="C99" s="79" t="s">
        <v>113</v>
      </c>
      <c r="D99" s="79"/>
      <c r="E99" s="48">
        <v>900.2</v>
      </c>
    </row>
    <row r="100" spans="1:5" ht="73.5" customHeight="1" x14ac:dyDescent="0.2">
      <c r="A100" s="77"/>
      <c r="B100" s="77"/>
      <c r="C100" s="79" t="s">
        <v>111</v>
      </c>
      <c r="D100" s="79"/>
      <c r="E100" s="48">
        <v>656.4</v>
      </c>
    </row>
    <row r="101" spans="1:5" ht="118.5" customHeight="1" x14ac:dyDescent="0.2">
      <c r="A101" s="77"/>
      <c r="B101" s="77"/>
      <c r="C101" s="79" t="s">
        <v>110</v>
      </c>
      <c r="D101" s="79"/>
      <c r="E101" s="48">
        <v>167.4</v>
      </c>
    </row>
    <row r="102" spans="1:5" ht="129.75" customHeight="1" x14ac:dyDescent="0.2">
      <c r="A102" s="77"/>
      <c r="B102" s="77"/>
      <c r="C102" s="90" t="s">
        <v>99</v>
      </c>
      <c r="D102" s="114"/>
      <c r="E102" s="48">
        <v>1109</v>
      </c>
    </row>
    <row r="103" spans="1:5" ht="13.5" customHeight="1" x14ac:dyDescent="0.2">
      <c r="A103" s="77" t="s">
        <v>95</v>
      </c>
      <c r="B103" s="77"/>
      <c r="C103" s="85"/>
      <c r="D103" s="85"/>
      <c r="E103" s="45">
        <f>C76</f>
        <v>1367</v>
      </c>
    </row>
    <row r="104" spans="1:5" ht="13.5" customHeight="1" x14ac:dyDescent="0.2">
      <c r="C104" s="88" t="s">
        <v>96</v>
      </c>
      <c r="D104" s="88"/>
      <c r="E104" s="47">
        <f>(E29+E97)-SUM(E98:E103)</f>
        <v>228.5</v>
      </c>
    </row>
    <row r="105" spans="1:5" ht="13.5" customHeight="1" x14ac:dyDescent="0.2">
      <c r="A105" s="49"/>
      <c r="B105" s="49"/>
      <c r="C105" s="49"/>
      <c r="D105" s="49"/>
      <c r="E105" s="49"/>
    </row>
    <row r="106" spans="1:5" ht="13.5" customHeight="1" x14ac:dyDescent="0.2">
      <c r="A106" s="49"/>
      <c r="B106" s="49"/>
      <c r="C106" s="49"/>
      <c r="D106" s="49"/>
      <c r="E106" s="49"/>
    </row>
    <row r="107" spans="1:5" ht="13.5" customHeight="1" x14ac:dyDescent="0.2">
      <c r="A107" s="89" t="s">
        <v>127</v>
      </c>
      <c r="B107" s="89"/>
      <c r="C107" s="89"/>
      <c r="D107" s="89"/>
      <c r="E107" s="89"/>
    </row>
    <row r="108" spans="1:5" ht="13.5" customHeight="1" x14ac:dyDescent="0.2">
      <c r="A108" s="74" t="s">
        <v>83</v>
      </c>
      <c r="B108" s="74"/>
      <c r="C108" s="74" t="s">
        <v>11</v>
      </c>
      <c r="D108" s="74"/>
      <c r="E108" s="43" t="s">
        <v>12</v>
      </c>
    </row>
    <row r="109" spans="1:5" ht="13.5" customHeight="1" x14ac:dyDescent="0.2">
      <c r="A109" s="76" t="s">
        <v>100</v>
      </c>
      <c r="B109" s="76"/>
      <c r="C109" s="85"/>
      <c r="D109" s="85"/>
      <c r="E109" s="47">
        <f>E104</f>
        <v>228.5</v>
      </c>
    </row>
    <row r="110" spans="1:5" ht="333" customHeight="1" x14ac:dyDescent="0.2">
      <c r="A110" s="93" t="s">
        <v>67</v>
      </c>
      <c r="B110" s="94"/>
      <c r="C110" s="107" t="s">
        <v>117</v>
      </c>
      <c r="D110" s="107"/>
      <c r="E110" s="45">
        <v>870.3</v>
      </c>
    </row>
    <row r="111" spans="1:5" ht="152" customHeight="1" x14ac:dyDescent="0.2">
      <c r="A111" s="95"/>
      <c r="B111" s="96"/>
      <c r="C111" s="115" t="s">
        <v>116</v>
      </c>
      <c r="D111" s="116"/>
      <c r="E111" s="45">
        <v>1428</v>
      </c>
    </row>
    <row r="112" spans="1:5" ht="151" customHeight="1" x14ac:dyDescent="0.2">
      <c r="A112" s="97"/>
      <c r="B112" s="98"/>
      <c r="C112" s="90" t="s">
        <v>120</v>
      </c>
      <c r="D112" s="114"/>
      <c r="E112" s="45">
        <v>225.5</v>
      </c>
    </row>
    <row r="113" spans="1:5" ht="13.5" customHeight="1" x14ac:dyDescent="0.2">
      <c r="A113" s="77" t="s">
        <v>95</v>
      </c>
      <c r="B113" s="77"/>
      <c r="C113" s="85"/>
      <c r="D113" s="85"/>
      <c r="E113" s="45">
        <f>C76</f>
        <v>1367</v>
      </c>
    </row>
    <row r="114" spans="1:5" ht="13.5" customHeight="1" x14ac:dyDescent="0.2">
      <c r="C114" s="88" t="s">
        <v>96</v>
      </c>
      <c r="D114" s="88"/>
      <c r="E114" s="47">
        <f>(E38+E109)-SUM(E110:E113)</f>
        <v>110.69999999999982</v>
      </c>
    </row>
    <row r="115" spans="1:5" ht="13.5" customHeight="1" x14ac:dyDescent="0.2">
      <c r="A115" s="24"/>
      <c r="B115" s="24"/>
    </row>
    <row r="116" spans="1:5" ht="13.5" customHeight="1" x14ac:dyDescent="0.2">
      <c r="A116" s="24"/>
      <c r="B116" s="24"/>
    </row>
    <row r="117" spans="1:5" ht="13.5" customHeight="1" x14ac:dyDescent="0.2">
      <c r="A117" s="24"/>
      <c r="B117" s="24"/>
    </row>
    <row r="118" spans="1:5" ht="13.5" customHeight="1" x14ac:dyDescent="0.2">
      <c r="A118" s="24"/>
      <c r="B118" s="24"/>
    </row>
    <row r="119" spans="1:5" ht="13.5" customHeight="1" x14ac:dyDescent="0.2">
      <c r="A119" s="24"/>
      <c r="B119" s="24"/>
    </row>
    <row r="120" spans="1:5" ht="13.5" customHeight="1" x14ac:dyDescent="0.2">
      <c r="A120" s="24"/>
      <c r="B120" s="24"/>
    </row>
    <row r="121" spans="1:5" ht="13.5" customHeight="1" x14ac:dyDescent="0.2">
      <c r="A121" s="24"/>
      <c r="B121" s="24"/>
    </row>
    <row r="122" spans="1:5" ht="13.5" customHeight="1" x14ac:dyDescent="0.2">
      <c r="A122" s="24"/>
      <c r="B122" s="24"/>
    </row>
    <row r="123" spans="1:5" ht="13.5" customHeight="1" x14ac:dyDescent="0.2">
      <c r="A123" s="24"/>
      <c r="B123" s="24"/>
    </row>
    <row r="124" spans="1:5" ht="13.5" customHeight="1" x14ac:dyDescent="0.2">
      <c r="A124" s="24"/>
      <c r="B124" s="24"/>
    </row>
    <row r="125" spans="1:5" ht="13.5" customHeight="1" x14ac:dyDescent="0.2">
      <c r="A125" s="24"/>
      <c r="B125" s="24"/>
    </row>
    <row r="126" spans="1:5" ht="13.5" customHeight="1" x14ac:dyDescent="0.2">
      <c r="A126" s="24"/>
      <c r="B126" s="24"/>
    </row>
    <row r="127" spans="1:5" ht="13.5" customHeight="1" x14ac:dyDescent="0.2">
      <c r="A127" s="24"/>
      <c r="B127" s="24"/>
    </row>
    <row r="128" spans="1:5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  <row r="1036" spans="1:2" ht="13.5" customHeight="1" x14ac:dyDescent="0.2">
      <c r="A1036" s="24"/>
      <c r="B1036" s="24"/>
    </row>
    <row r="1037" spans="1:2" ht="13.5" customHeight="1" x14ac:dyDescent="0.2">
      <c r="A1037" s="24"/>
      <c r="B1037" s="24"/>
    </row>
    <row r="1038" spans="1:2" ht="13.5" customHeight="1" x14ac:dyDescent="0.2">
      <c r="A1038" s="24"/>
      <c r="B1038" s="24"/>
    </row>
    <row r="1039" spans="1:2" ht="13.5" customHeight="1" x14ac:dyDescent="0.2">
      <c r="A1039" s="24"/>
      <c r="B1039" s="24"/>
    </row>
    <row r="1040" spans="1:2" ht="13.5" customHeight="1" x14ac:dyDescent="0.2">
      <c r="A1040" s="24"/>
      <c r="B1040" s="24"/>
    </row>
    <row r="1041" spans="1:2" ht="13.5" customHeight="1" x14ac:dyDescent="0.2">
      <c r="A1041" s="24"/>
      <c r="B1041" s="24"/>
    </row>
    <row r="1042" spans="1:2" ht="13.5" customHeight="1" x14ac:dyDescent="0.2">
      <c r="A1042" s="24"/>
      <c r="B1042" s="24"/>
    </row>
    <row r="1043" spans="1:2" ht="13.5" customHeight="1" x14ac:dyDescent="0.2">
      <c r="A1043" s="24"/>
      <c r="B1043" s="24"/>
    </row>
    <row r="1044" spans="1:2" ht="13.5" customHeight="1" x14ac:dyDescent="0.2">
      <c r="A1044" s="24"/>
      <c r="B1044" s="24"/>
    </row>
    <row r="1045" spans="1:2" ht="13.5" customHeight="1" x14ac:dyDescent="0.2">
      <c r="A1045" s="24"/>
      <c r="B1045" s="24"/>
    </row>
    <row r="1046" spans="1:2" ht="13.5" customHeight="1" x14ac:dyDescent="0.2">
      <c r="A1046" s="24"/>
      <c r="B1046" s="24"/>
    </row>
    <row r="1047" spans="1:2" ht="13.5" customHeight="1" x14ac:dyDescent="0.2">
      <c r="A1047" s="24"/>
      <c r="B1047" s="24"/>
    </row>
    <row r="1048" spans="1:2" ht="13.5" customHeight="1" x14ac:dyDescent="0.2">
      <c r="A1048" s="24"/>
      <c r="B1048" s="24"/>
    </row>
    <row r="1049" spans="1:2" ht="13.5" customHeight="1" x14ac:dyDescent="0.2">
      <c r="A1049" s="24"/>
      <c r="B1049" s="24"/>
    </row>
    <row r="1050" spans="1:2" ht="13.5" customHeight="1" x14ac:dyDescent="0.2">
      <c r="A1050" s="24"/>
      <c r="B1050" s="24"/>
    </row>
  </sheetData>
  <mergeCells count="78">
    <mergeCell ref="A113:B113"/>
    <mergeCell ref="C113:D113"/>
    <mergeCell ref="C114:D114"/>
    <mergeCell ref="A109:B109"/>
    <mergeCell ref="C109:D109"/>
    <mergeCell ref="A110:B112"/>
    <mergeCell ref="C110:D110"/>
    <mergeCell ref="C111:D111"/>
    <mergeCell ref="C112:D112"/>
    <mergeCell ref="A103:B103"/>
    <mergeCell ref="C103:D103"/>
    <mergeCell ref="C104:D104"/>
    <mergeCell ref="A107:E107"/>
    <mergeCell ref="A108:B108"/>
    <mergeCell ref="C108:D108"/>
    <mergeCell ref="A97:B97"/>
    <mergeCell ref="C97:D97"/>
    <mergeCell ref="A98:B102"/>
    <mergeCell ref="C98:D98"/>
    <mergeCell ref="C99:D99"/>
    <mergeCell ref="C100:D100"/>
    <mergeCell ref="C101:D101"/>
    <mergeCell ref="C102:D102"/>
    <mergeCell ref="A92:B92"/>
    <mergeCell ref="C92:D92"/>
    <mergeCell ref="C93:D93"/>
    <mergeCell ref="A95:E95"/>
    <mergeCell ref="A96:B96"/>
    <mergeCell ref="C96:D96"/>
    <mergeCell ref="A81:B81"/>
    <mergeCell ref="C81:D81"/>
    <mergeCell ref="A82:B91"/>
    <mergeCell ref="C82:D82"/>
    <mergeCell ref="C83:D83"/>
    <mergeCell ref="C84:D84"/>
    <mergeCell ref="C85:D85"/>
    <mergeCell ref="C86:D86"/>
    <mergeCell ref="C87:D87"/>
    <mergeCell ref="C88:D88"/>
    <mergeCell ref="C89:D89"/>
    <mergeCell ref="C90:D90"/>
    <mergeCell ref="C91:D91"/>
    <mergeCell ref="A61:C61"/>
    <mergeCell ref="A64:C64"/>
    <mergeCell ref="A72:C72"/>
    <mergeCell ref="A79:E79"/>
    <mergeCell ref="A80:B80"/>
    <mergeCell ref="C80:D80"/>
    <mergeCell ref="A40:C40"/>
    <mergeCell ref="A42:C42"/>
    <mergeCell ref="A47:C48"/>
    <mergeCell ref="A54:C54"/>
    <mergeCell ref="A58:C58"/>
    <mergeCell ref="C33:D33"/>
    <mergeCell ref="C34:D34"/>
    <mergeCell ref="C35:D35"/>
    <mergeCell ref="C36:D36"/>
    <mergeCell ref="C37:D37"/>
    <mergeCell ref="C26:D26"/>
    <mergeCell ref="C27:D27"/>
    <mergeCell ref="C28:D28"/>
    <mergeCell ref="A31:E31"/>
    <mergeCell ref="C32:D32"/>
    <mergeCell ref="C19:D19"/>
    <mergeCell ref="A22:E22"/>
    <mergeCell ref="C23:D23"/>
    <mergeCell ref="C24:D24"/>
    <mergeCell ref="C25:D25"/>
    <mergeCell ref="C14:D14"/>
    <mergeCell ref="C15:D15"/>
    <mergeCell ref="C16:D16"/>
    <mergeCell ref="C17:D17"/>
    <mergeCell ref="C18:D18"/>
    <mergeCell ref="A1:E1"/>
    <mergeCell ref="A10:E10"/>
    <mergeCell ref="C11:D11"/>
    <mergeCell ref="C12:D12"/>
    <mergeCell ref="C13:D13"/>
  </mergeCells>
  <conditionalFormatting sqref="C7:C8 E81">
    <cfRule type="cellIs" dxfId="7" priority="2" operator="greaterThanOrEqual">
      <formula>0</formula>
    </cfRule>
    <cfRule type="cellIs" dxfId="6" priority="3" operator="lessThan">
      <formula>0</formula>
    </cfRule>
  </conditionalFormatting>
  <conditionalFormatting sqref="E93 E97 E104 E109 E114">
    <cfRule type="cellIs" dxfId="5" priority="4" operator="greaterThanOrEqual">
      <formula>0</formula>
    </cfRule>
    <cfRule type="cellIs" dxfId="4" priority="5" operator="lessThan">
      <formula>0</formula>
    </cfRule>
  </conditionalFormatting>
  <pageMargins left="0.75" right="0.75" top="0.33958333333333302" bottom="1" header="0.511811023622047" footer="0.511811023622047"/>
  <pageSetup paperSize="9" scale="6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035"/>
  <sheetViews>
    <sheetView zoomScale="150" zoomScaleNormal="130" workbookViewId="0">
      <selection activeCell="H84" sqref="H84"/>
    </sheetView>
  </sheetViews>
  <sheetFormatPr baseColWidth="10" defaultColWidth="14.33203125" defaultRowHeight="14.25" customHeight="1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56" t="s">
        <v>101</v>
      </c>
      <c r="B1" s="56"/>
      <c r="C1" s="56"/>
      <c r="D1" s="56"/>
      <c r="E1" s="56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f>'April 2026 - June 2026'!C3</f>
        <v>19.04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f>'April 2026 - June 2026'!C4</f>
        <v>12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f>'April 2026 - June 2026'!C6</f>
        <v>59.9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f>'April 2026 - June 2026'!C7</f>
        <v>-6.4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'April 2026 - June 2026'!C8</f>
        <v>84.539999999999992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57" t="s">
        <v>102</v>
      </c>
      <c r="B10" s="57"/>
      <c r="C10" s="57"/>
      <c r="D10" s="57"/>
      <c r="E10" s="57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58" t="s">
        <v>11</v>
      </c>
      <c r="D11" s="58"/>
      <c r="E11" s="4" t="s">
        <v>12</v>
      </c>
    </row>
    <row r="12" spans="1:25" ht="13.5" customHeight="1" x14ac:dyDescent="0.2">
      <c r="A12" s="51" t="s">
        <v>103</v>
      </c>
      <c r="B12" s="51" t="s">
        <v>14</v>
      </c>
      <c r="C12" s="59" t="s">
        <v>15</v>
      </c>
      <c r="D12" s="59"/>
      <c r="E12" s="52">
        <v>2485</v>
      </c>
    </row>
    <row r="13" spans="1:25" ht="13.5" customHeight="1" x14ac:dyDescent="0.2">
      <c r="A13" s="6" t="s">
        <v>122</v>
      </c>
      <c r="B13" s="6" t="s">
        <v>75</v>
      </c>
      <c r="C13" s="61" t="s">
        <v>123</v>
      </c>
      <c r="D13" s="61"/>
      <c r="E13" s="29">
        <v>55</v>
      </c>
    </row>
    <row r="14" spans="1:25" ht="44" customHeight="1" x14ac:dyDescent="0.2">
      <c r="A14" s="50" t="s">
        <v>124</v>
      </c>
      <c r="B14" s="50" t="s">
        <v>24</v>
      </c>
      <c r="C14" s="60" t="s">
        <v>132</v>
      </c>
      <c r="D14" s="61"/>
      <c r="E14" s="29">
        <v>770.4</v>
      </c>
    </row>
    <row r="15" spans="1:25" ht="13.5" customHeight="1" x14ac:dyDescent="0.2">
      <c r="A15" s="24"/>
      <c r="B15" s="24"/>
      <c r="C15" s="5"/>
      <c r="D15" s="25" t="s">
        <v>30</v>
      </c>
      <c r="E15" s="26">
        <f>SUM(E12:E14)</f>
        <v>3310.4</v>
      </c>
    </row>
    <row r="16" spans="1:25" ht="13.5" customHeight="1" x14ac:dyDescent="0.2">
      <c r="B16" s="24"/>
    </row>
    <row r="17" spans="1:25" ht="13.5" customHeight="1" x14ac:dyDescent="0.2">
      <c r="A17" s="62" t="s">
        <v>104</v>
      </c>
      <c r="B17" s="62"/>
      <c r="C17" s="62"/>
      <c r="D17" s="62"/>
      <c r="E17" s="62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 spans="1:25" ht="13.5" customHeight="1" x14ac:dyDescent="0.2">
      <c r="A18" s="31" t="s">
        <v>9</v>
      </c>
      <c r="B18" s="32" t="s">
        <v>10</v>
      </c>
      <c r="C18" s="63" t="s">
        <v>11</v>
      </c>
      <c r="D18" s="63"/>
      <c r="E18" s="2" t="s">
        <v>12</v>
      </c>
    </row>
    <row r="19" spans="1:25" ht="13.5" customHeight="1" x14ac:dyDescent="0.2">
      <c r="A19" s="50" t="s">
        <v>131</v>
      </c>
      <c r="B19" s="6" t="s">
        <v>14</v>
      </c>
      <c r="C19" s="61" t="s">
        <v>15</v>
      </c>
      <c r="D19" s="61"/>
      <c r="E19" s="29">
        <v>2485</v>
      </c>
    </row>
    <row r="20" spans="1:25" ht="37" customHeight="1" x14ac:dyDescent="0.2">
      <c r="A20" s="50" t="s">
        <v>131</v>
      </c>
      <c r="B20" s="50" t="s">
        <v>28</v>
      </c>
      <c r="C20" s="108" t="s">
        <v>149</v>
      </c>
      <c r="D20" s="67"/>
      <c r="E20" s="29">
        <v>100</v>
      </c>
    </row>
    <row r="21" spans="1:25" ht="19" customHeight="1" x14ac:dyDescent="0.2">
      <c r="A21" s="54" t="s">
        <v>135</v>
      </c>
      <c r="B21" s="54" t="s">
        <v>136</v>
      </c>
      <c r="C21" s="64" t="s">
        <v>137</v>
      </c>
      <c r="D21" s="65"/>
      <c r="E21" s="29">
        <v>3.08</v>
      </c>
    </row>
    <row r="22" spans="1:25" ht="19" customHeight="1" x14ac:dyDescent="0.2">
      <c r="A22" s="50" t="s">
        <v>138</v>
      </c>
      <c r="B22" s="50" t="s">
        <v>24</v>
      </c>
      <c r="C22" s="66" t="s">
        <v>139</v>
      </c>
      <c r="D22" s="67"/>
      <c r="E22" s="29">
        <v>60</v>
      </c>
    </row>
    <row r="23" spans="1:25" ht="13.5" customHeight="1" x14ac:dyDescent="0.2">
      <c r="A23" s="50" t="s">
        <v>141</v>
      </c>
      <c r="B23" s="50" t="s">
        <v>142</v>
      </c>
      <c r="C23" s="68" t="s">
        <v>143</v>
      </c>
      <c r="D23" s="69"/>
      <c r="E23" s="29">
        <v>1000</v>
      </c>
    </row>
    <row r="24" spans="1:25" ht="13.5" customHeight="1" x14ac:dyDescent="0.2">
      <c r="A24" s="24"/>
      <c r="B24" s="24"/>
      <c r="C24" s="5"/>
      <c r="D24" s="25" t="s">
        <v>30</v>
      </c>
      <c r="E24" s="26">
        <f>SUM(E19:E23)</f>
        <v>3648.08</v>
      </c>
    </row>
    <row r="25" spans="1:25" ht="13.5" customHeight="1" x14ac:dyDescent="0.2">
      <c r="A25" s="24"/>
      <c r="B25" s="24"/>
    </row>
    <row r="26" spans="1:25" ht="13.5" customHeight="1" x14ac:dyDescent="0.2">
      <c r="A26" s="62" t="s">
        <v>105</v>
      </c>
      <c r="B26" s="62"/>
      <c r="C26" s="62"/>
      <c r="D26" s="62"/>
      <c r="E26" s="62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</row>
    <row r="27" spans="1:25" ht="13.5" customHeight="1" x14ac:dyDescent="0.2">
      <c r="A27" s="31" t="s">
        <v>9</v>
      </c>
      <c r="B27" s="32" t="s">
        <v>10</v>
      </c>
      <c r="C27" s="63" t="s">
        <v>11</v>
      </c>
      <c r="D27" s="63"/>
      <c r="E27" s="2" t="s">
        <v>12</v>
      </c>
    </row>
    <row r="28" spans="1:25" ht="13.5" customHeight="1" x14ac:dyDescent="0.2">
      <c r="A28" s="50" t="s">
        <v>140</v>
      </c>
      <c r="B28" s="6" t="s">
        <v>14</v>
      </c>
      <c r="C28" s="61" t="s">
        <v>15</v>
      </c>
      <c r="D28" s="61"/>
      <c r="E28" s="33">
        <v>2485</v>
      </c>
    </row>
    <row r="29" spans="1:25" ht="13.5" customHeight="1" x14ac:dyDescent="0.2">
      <c r="A29" s="6"/>
      <c r="B29" s="6"/>
      <c r="C29" s="61"/>
      <c r="D29" s="61"/>
      <c r="E29" s="29">
        <v>0</v>
      </c>
    </row>
    <row r="30" spans="1:25" ht="13.5" customHeight="1" x14ac:dyDescent="0.2">
      <c r="A30" s="24"/>
      <c r="B30" s="24"/>
      <c r="C30" s="5"/>
      <c r="D30" s="34" t="s">
        <v>30</v>
      </c>
      <c r="E30" s="35">
        <f>SUM(E28:E29)</f>
        <v>2485</v>
      </c>
    </row>
    <row r="31" spans="1:25" ht="13.5" customHeight="1" x14ac:dyDescent="0.2">
      <c r="A31" s="24"/>
      <c r="B31" s="24"/>
    </row>
    <row r="32" spans="1:25" ht="15" customHeight="1" x14ac:dyDescent="0.2">
      <c r="A32" s="70" t="s">
        <v>106</v>
      </c>
      <c r="B32" s="70"/>
      <c r="C32" s="70"/>
    </row>
    <row r="33" spans="1:4" ht="17" x14ac:dyDescent="0.2">
      <c r="A33" s="1" t="s">
        <v>10</v>
      </c>
      <c r="B33" s="1" t="s">
        <v>11</v>
      </c>
      <c r="C33" s="36" t="s">
        <v>12</v>
      </c>
      <c r="D33" s="37"/>
    </row>
    <row r="34" spans="1:4" ht="13.5" customHeight="1" x14ac:dyDescent="0.2">
      <c r="A34" s="71" t="s">
        <v>41</v>
      </c>
      <c r="B34" s="71"/>
      <c r="C34" s="71"/>
    </row>
    <row r="35" spans="1:4" ht="13.5" customHeight="1" x14ac:dyDescent="0.2">
      <c r="A35" s="50" t="s">
        <v>17</v>
      </c>
      <c r="B35" s="50" t="s">
        <v>112</v>
      </c>
      <c r="C35" s="33">
        <v>78</v>
      </c>
    </row>
    <row r="36" spans="1:4" ht="13.5" customHeight="1" x14ac:dyDescent="0.2">
      <c r="A36" s="17" t="s">
        <v>42</v>
      </c>
      <c r="B36" s="17" t="s">
        <v>43</v>
      </c>
      <c r="C36" s="38">
        <v>0</v>
      </c>
    </row>
    <row r="37" spans="1:4" ht="13.5" customHeight="1" x14ac:dyDescent="0.2">
      <c r="A37" s="17" t="s">
        <v>44</v>
      </c>
      <c r="B37" s="17" t="s">
        <v>45</v>
      </c>
      <c r="C37" s="38">
        <v>138</v>
      </c>
    </row>
    <row r="38" spans="1:4" ht="13.5" customHeight="1" x14ac:dyDescent="0.2">
      <c r="A38" s="7"/>
      <c r="B38" s="6" t="s">
        <v>46</v>
      </c>
      <c r="C38" s="39">
        <f>SUM(C35:C37)</f>
        <v>216</v>
      </c>
    </row>
    <row r="39" spans="1:4" ht="13.5" customHeight="1" x14ac:dyDescent="0.2">
      <c r="A39" s="72" t="s">
        <v>47</v>
      </c>
      <c r="B39" s="72"/>
      <c r="C39" s="72"/>
    </row>
    <row r="40" spans="1:4" ht="13.5" customHeight="1" x14ac:dyDescent="0.2">
      <c r="A40" s="72"/>
      <c r="B40" s="72"/>
      <c r="C40" s="72"/>
    </row>
    <row r="41" spans="1:4" ht="13.5" customHeight="1" x14ac:dyDescent="0.2">
      <c r="A41" s="6" t="s">
        <v>48</v>
      </c>
      <c r="B41" s="6"/>
      <c r="C41" s="29">
        <v>0</v>
      </c>
    </row>
    <row r="42" spans="1:4" ht="13.5" customHeight="1" x14ac:dyDescent="0.2">
      <c r="A42" s="6" t="s">
        <v>49</v>
      </c>
      <c r="B42" s="6"/>
      <c r="C42" s="19">
        <v>0</v>
      </c>
    </row>
    <row r="43" spans="1:4" ht="13.5" customHeight="1" x14ac:dyDescent="0.2">
      <c r="A43" s="6" t="s">
        <v>50</v>
      </c>
      <c r="B43" s="6"/>
      <c r="C43" s="19">
        <v>0</v>
      </c>
    </row>
    <row r="44" spans="1:4" ht="13.5" customHeight="1" x14ac:dyDescent="0.2">
      <c r="A44" s="6" t="s">
        <v>51</v>
      </c>
      <c r="B44" s="6"/>
      <c r="C44" s="19">
        <v>0</v>
      </c>
    </row>
    <row r="45" spans="1:4" ht="13.5" customHeight="1" x14ac:dyDescent="0.2">
      <c r="A45" s="6"/>
      <c r="B45" s="6" t="s">
        <v>52</v>
      </c>
      <c r="C45" s="39">
        <f>SUM(C41:C44)</f>
        <v>0</v>
      </c>
    </row>
    <row r="46" spans="1:4" ht="13.5" customHeight="1" x14ac:dyDescent="0.2">
      <c r="A46" s="71" t="s">
        <v>53</v>
      </c>
      <c r="B46" s="71"/>
      <c r="C46" s="71"/>
    </row>
    <row r="47" spans="1:4" ht="13.5" customHeight="1" x14ac:dyDescent="0.2">
      <c r="A47" s="6" t="s">
        <v>54</v>
      </c>
      <c r="B47" s="6" t="s">
        <v>55</v>
      </c>
      <c r="C47" s="33">
        <v>0</v>
      </c>
    </row>
    <row r="48" spans="1:4" ht="13.5" customHeight="1" x14ac:dyDescent="0.2">
      <c r="A48" s="6" t="s">
        <v>56</v>
      </c>
      <c r="B48" s="6" t="s">
        <v>57</v>
      </c>
      <c r="C48" s="33">
        <v>0</v>
      </c>
    </row>
    <row r="49" spans="1:3" ht="13.5" customHeight="1" x14ac:dyDescent="0.2">
      <c r="A49" s="6"/>
      <c r="B49" s="6" t="s">
        <v>58</v>
      </c>
      <c r="C49" s="39">
        <f>SUM(C47:C48)</f>
        <v>0</v>
      </c>
    </row>
    <row r="50" spans="1:3" ht="13.5" customHeight="1" x14ac:dyDescent="0.2">
      <c r="A50" s="71" t="s">
        <v>59</v>
      </c>
      <c r="B50" s="71"/>
      <c r="C50" s="71"/>
    </row>
    <row r="51" spans="1:3" ht="13.5" customHeight="1" x14ac:dyDescent="0.2">
      <c r="A51" s="6" t="s">
        <v>60</v>
      </c>
      <c r="B51" s="6" t="s">
        <v>61</v>
      </c>
      <c r="C51" s="29">
        <v>0</v>
      </c>
    </row>
    <row r="52" spans="1:3" ht="13.5" customHeight="1" x14ac:dyDescent="0.2">
      <c r="A52" s="17"/>
      <c r="B52" s="17" t="s">
        <v>62</v>
      </c>
      <c r="C52" s="39">
        <f>SUM(C51)</f>
        <v>0</v>
      </c>
    </row>
    <row r="53" spans="1:3" ht="13.5" customHeight="1" x14ac:dyDescent="0.2">
      <c r="A53" s="71" t="s">
        <v>63</v>
      </c>
      <c r="B53" s="71"/>
      <c r="C53" s="71"/>
    </row>
    <row r="54" spans="1:3" ht="13.5" customHeight="1" x14ac:dyDescent="0.2">
      <c r="A54" s="6" t="s">
        <v>64</v>
      </c>
      <c r="B54" s="6" t="s">
        <v>65</v>
      </c>
      <c r="C54" s="29">
        <v>0</v>
      </c>
    </row>
    <row r="55" spans="1:3" ht="13.5" customHeight="1" x14ac:dyDescent="0.2">
      <c r="A55" s="6"/>
      <c r="B55" s="6" t="s">
        <v>66</v>
      </c>
      <c r="C55" s="39">
        <f>SUM(C54)</f>
        <v>0</v>
      </c>
    </row>
    <row r="56" spans="1:3" ht="13.5" customHeight="1" x14ac:dyDescent="0.2">
      <c r="A56" s="73" t="s">
        <v>67</v>
      </c>
      <c r="B56" s="73"/>
      <c r="C56" s="73"/>
    </row>
    <row r="57" spans="1:3" ht="13.5" customHeight="1" x14ac:dyDescent="0.2">
      <c r="A57" s="17" t="s">
        <v>68</v>
      </c>
      <c r="B57" s="5" t="s">
        <v>69</v>
      </c>
      <c r="C57" s="40">
        <v>0</v>
      </c>
    </row>
    <row r="58" spans="1:3" ht="13.5" customHeight="1" x14ac:dyDescent="0.2">
      <c r="A58" s="6" t="s">
        <v>70</v>
      </c>
      <c r="B58" s="6" t="s">
        <v>18</v>
      </c>
      <c r="C58" s="29">
        <v>900</v>
      </c>
    </row>
    <row r="59" spans="1:3" ht="32" x14ac:dyDescent="0.2">
      <c r="A59" s="6" t="s">
        <v>71</v>
      </c>
      <c r="B59" s="6" t="s">
        <v>72</v>
      </c>
      <c r="C59" s="29">
        <v>0</v>
      </c>
    </row>
    <row r="60" spans="1:3" ht="13.5" customHeight="1" x14ac:dyDescent="0.2">
      <c r="A60" s="6" t="s">
        <v>73</v>
      </c>
      <c r="B60" s="6" t="s">
        <v>74</v>
      </c>
      <c r="C60" s="29">
        <v>0</v>
      </c>
    </row>
    <row r="61" spans="1:3" ht="13.5" customHeight="1" x14ac:dyDescent="0.2">
      <c r="A61" s="6" t="s">
        <v>75</v>
      </c>
      <c r="B61" s="6"/>
      <c r="C61" s="29">
        <v>55</v>
      </c>
    </row>
    <row r="62" spans="1:3" ht="13.5" customHeight="1" x14ac:dyDescent="0.2">
      <c r="A62" s="7" t="s">
        <v>76</v>
      </c>
      <c r="B62" s="7" t="s">
        <v>77</v>
      </c>
      <c r="C62" s="19">
        <v>0</v>
      </c>
    </row>
    <row r="63" spans="1:3" ht="13.5" customHeight="1" x14ac:dyDescent="0.2">
      <c r="A63" s="7"/>
      <c r="B63" s="7" t="s">
        <v>78</v>
      </c>
      <c r="C63" s="39">
        <f>SUM(C57:C62)</f>
        <v>955</v>
      </c>
    </row>
    <row r="64" spans="1:3" ht="13.5" customHeight="1" x14ac:dyDescent="0.2">
      <c r="A64" s="73" t="s">
        <v>79</v>
      </c>
      <c r="B64" s="73"/>
      <c r="C64" s="73"/>
    </row>
    <row r="65" spans="1:8" ht="13.5" customHeight="1" x14ac:dyDescent="0.2">
      <c r="A65" s="7" t="s">
        <v>24</v>
      </c>
      <c r="B65" s="7"/>
      <c r="C65" s="19">
        <v>0</v>
      </c>
    </row>
    <row r="66" spans="1:8" ht="13.5" customHeight="1" x14ac:dyDescent="0.2">
      <c r="A66" s="7" t="s">
        <v>80</v>
      </c>
      <c r="B66" s="7"/>
      <c r="C66" s="19">
        <v>0</v>
      </c>
    </row>
    <row r="67" spans="1:8" ht="13.5" customHeight="1" x14ac:dyDescent="0.2">
      <c r="A67" s="7"/>
      <c r="B67" s="7" t="s">
        <v>81</v>
      </c>
      <c r="C67" s="19">
        <f>SUM(C65:C66)</f>
        <v>0</v>
      </c>
    </row>
    <row r="68" spans="1:8" ht="13.5" customHeight="1" x14ac:dyDescent="0.2">
      <c r="A68" s="6"/>
      <c r="B68" s="34" t="s">
        <v>82</v>
      </c>
      <c r="C68" s="41">
        <f>C38+C45+C49+C52+C55+C63</f>
        <v>1171</v>
      </c>
      <c r="H68" s="42"/>
    </row>
    <row r="69" spans="1:8" ht="13.5" customHeight="1" x14ac:dyDescent="0.2">
      <c r="A69" s="24"/>
      <c r="B69" s="24"/>
    </row>
    <row r="70" spans="1:8" ht="13.5" customHeight="1" x14ac:dyDescent="0.2">
      <c r="A70" s="24"/>
      <c r="B70" s="24"/>
    </row>
    <row r="71" spans="1:8" ht="13.5" customHeight="1" x14ac:dyDescent="0.2">
      <c r="A71" s="74" t="s">
        <v>128</v>
      </c>
      <c r="B71" s="74"/>
      <c r="C71" s="74"/>
      <c r="D71" s="74"/>
      <c r="E71" s="74"/>
    </row>
    <row r="72" spans="1:8" ht="13.5" customHeight="1" x14ac:dyDescent="0.2">
      <c r="A72" s="75" t="s">
        <v>83</v>
      </c>
      <c r="B72" s="75"/>
      <c r="C72" s="75" t="s">
        <v>11</v>
      </c>
      <c r="D72" s="75"/>
      <c r="E72" s="44" t="s">
        <v>12</v>
      </c>
    </row>
    <row r="73" spans="1:8" ht="24" customHeight="1" x14ac:dyDescent="0.2">
      <c r="A73" s="76" t="s">
        <v>107</v>
      </c>
      <c r="B73" s="76"/>
      <c r="C73" s="77"/>
      <c r="D73" s="77"/>
      <c r="E73" s="47">
        <f>'April 2026 - June 2026'!E114</f>
        <v>110.69999999999982</v>
      </c>
    </row>
    <row r="74" spans="1:8" ht="39" customHeight="1" x14ac:dyDescent="0.2">
      <c r="A74" s="78" t="s">
        <v>67</v>
      </c>
      <c r="B74" s="78"/>
      <c r="C74" s="79" t="s">
        <v>121</v>
      </c>
      <c r="D74" s="79"/>
      <c r="E74" s="45">
        <v>600</v>
      </c>
    </row>
    <row r="75" spans="1:8" ht="259" customHeight="1" x14ac:dyDescent="0.2">
      <c r="A75" s="78"/>
      <c r="B75" s="78"/>
      <c r="C75" s="80" t="s">
        <v>133</v>
      </c>
      <c r="D75" s="81"/>
      <c r="E75" s="45">
        <v>1117.5</v>
      </c>
    </row>
    <row r="76" spans="1:8" ht="146" customHeight="1" x14ac:dyDescent="0.2">
      <c r="A76" s="78"/>
      <c r="B76" s="78"/>
      <c r="C76" s="80" t="s">
        <v>134</v>
      </c>
      <c r="D76" s="82"/>
      <c r="E76" s="45">
        <v>508</v>
      </c>
    </row>
    <row r="77" spans="1:8" ht="13.5" customHeight="1" x14ac:dyDescent="0.2">
      <c r="A77" s="78" t="s">
        <v>95</v>
      </c>
      <c r="B77" s="78"/>
      <c r="C77" s="83"/>
      <c r="D77" s="83"/>
      <c r="E77" s="46">
        <f>C68</f>
        <v>1171</v>
      </c>
    </row>
    <row r="78" spans="1:8" ht="13.5" customHeight="1" x14ac:dyDescent="0.2">
      <c r="C78" s="84" t="s">
        <v>96</v>
      </c>
      <c r="D78" s="84"/>
      <c r="E78" s="47">
        <f>(E15+E73)-SUM(E74:E77)</f>
        <v>24.599999999999909</v>
      </c>
    </row>
    <row r="79" spans="1:8" ht="13.5" customHeight="1" x14ac:dyDescent="0.2"/>
    <row r="80" spans="1:8" ht="13.5" customHeight="1" x14ac:dyDescent="0.2">
      <c r="A80" s="74" t="s">
        <v>129</v>
      </c>
      <c r="B80" s="74"/>
      <c r="C80" s="74"/>
      <c r="D80" s="74"/>
      <c r="E80" s="74"/>
    </row>
    <row r="81" spans="1:5" ht="13.5" customHeight="1" x14ac:dyDescent="0.2">
      <c r="A81" s="74" t="s">
        <v>83</v>
      </c>
      <c r="B81" s="74"/>
      <c r="C81" s="74" t="s">
        <v>11</v>
      </c>
      <c r="D81" s="74"/>
      <c r="E81" s="43" t="s">
        <v>12</v>
      </c>
    </row>
    <row r="82" spans="1:5" ht="23" customHeight="1" x14ac:dyDescent="0.2">
      <c r="A82" s="76" t="s">
        <v>108</v>
      </c>
      <c r="B82" s="76"/>
      <c r="C82" s="85"/>
      <c r="D82" s="85"/>
      <c r="E82" s="47">
        <f>E78</f>
        <v>24.599999999999909</v>
      </c>
    </row>
    <row r="83" spans="1:5" ht="56" customHeight="1" x14ac:dyDescent="0.2">
      <c r="A83" s="93" t="s">
        <v>67</v>
      </c>
      <c r="B83" s="94"/>
      <c r="C83" s="86" t="s">
        <v>144</v>
      </c>
      <c r="D83" s="87"/>
      <c r="E83" s="48">
        <v>830.4</v>
      </c>
    </row>
    <row r="84" spans="1:5" ht="128" customHeight="1" x14ac:dyDescent="0.2">
      <c r="A84" s="95"/>
      <c r="B84" s="96"/>
      <c r="C84" s="79" t="s">
        <v>151</v>
      </c>
      <c r="D84" s="79"/>
      <c r="E84" s="48">
        <v>711.6</v>
      </c>
    </row>
    <row r="85" spans="1:5" ht="137" customHeight="1" x14ac:dyDescent="0.2">
      <c r="A85" s="95"/>
      <c r="B85" s="96"/>
      <c r="C85" s="90" t="s">
        <v>150</v>
      </c>
      <c r="D85" s="91"/>
      <c r="E85" s="48">
        <v>312.5</v>
      </c>
    </row>
    <row r="86" spans="1:5" ht="40" customHeight="1" x14ac:dyDescent="0.2">
      <c r="A86" s="95"/>
      <c r="B86" s="96"/>
      <c r="C86" s="86" t="s">
        <v>146</v>
      </c>
      <c r="D86" s="92"/>
      <c r="E86" s="48">
        <v>136.63999999999999</v>
      </c>
    </row>
    <row r="87" spans="1:5" ht="80" customHeight="1" x14ac:dyDescent="0.2">
      <c r="A87" s="97"/>
      <c r="B87" s="98"/>
      <c r="C87" s="90" t="s">
        <v>145</v>
      </c>
      <c r="D87" s="91"/>
      <c r="E87" s="55">
        <v>426</v>
      </c>
    </row>
    <row r="88" spans="1:5" ht="19.5" customHeight="1" x14ac:dyDescent="0.2">
      <c r="A88" s="77" t="s">
        <v>95</v>
      </c>
      <c r="B88" s="77"/>
      <c r="C88" s="85"/>
      <c r="D88" s="85"/>
      <c r="E88" s="45">
        <f>C68</f>
        <v>1171</v>
      </c>
    </row>
    <row r="89" spans="1:5" ht="13.5" customHeight="1" x14ac:dyDescent="0.2">
      <c r="C89" s="88" t="s">
        <v>96</v>
      </c>
      <c r="D89" s="88"/>
      <c r="E89" s="47">
        <f>(E24+E82)-SUM(E83:E88)</f>
        <v>84.539999999999964</v>
      </c>
    </row>
    <row r="90" spans="1:5" ht="13.5" customHeight="1" x14ac:dyDescent="0.2">
      <c r="A90" s="49"/>
      <c r="B90" s="49"/>
      <c r="C90" s="49"/>
      <c r="D90" s="49"/>
      <c r="E90" s="49"/>
    </row>
    <row r="91" spans="1:5" ht="13.5" customHeight="1" x14ac:dyDescent="0.2">
      <c r="A91" s="49"/>
      <c r="B91" s="49"/>
      <c r="C91" s="49"/>
      <c r="D91" s="49"/>
      <c r="E91" s="49"/>
    </row>
    <row r="92" spans="1:5" ht="22" customHeight="1" x14ac:dyDescent="0.2">
      <c r="A92" s="89" t="s">
        <v>130</v>
      </c>
      <c r="B92" s="89"/>
      <c r="C92" s="89"/>
      <c r="D92" s="89"/>
      <c r="E92" s="89"/>
    </row>
    <row r="93" spans="1:5" ht="13.5" customHeight="1" x14ac:dyDescent="0.2">
      <c r="A93" s="74" t="s">
        <v>83</v>
      </c>
      <c r="B93" s="74"/>
      <c r="C93" s="74" t="s">
        <v>11</v>
      </c>
      <c r="D93" s="74"/>
      <c r="E93" s="43" t="s">
        <v>12</v>
      </c>
    </row>
    <row r="94" spans="1:5" ht="25" customHeight="1" x14ac:dyDescent="0.2">
      <c r="A94" s="76" t="s">
        <v>109</v>
      </c>
      <c r="B94" s="76"/>
      <c r="C94" s="85"/>
      <c r="D94" s="85"/>
      <c r="E94" s="47">
        <f>E89</f>
        <v>84.539999999999964</v>
      </c>
    </row>
    <row r="95" spans="1:5" ht="62" customHeight="1" x14ac:dyDescent="0.2">
      <c r="A95" s="93" t="s">
        <v>67</v>
      </c>
      <c r="B95" s="94"/>
      <c r="C95" s="99" t="s">
        <v>148</v>
      </c>
      <c r="D95" s="100"/>
      <c r="E95" s="45">
        <v>0</v>
      </c>
    </row>
    <row r="96" spans="1:5" ht="51" customHeight="1" x14ac:dyDescent="0.2">
      <c r="A96" s="95"/>
      <c r="B96" s="96"/>
      <c r="C96" s="99" t="s">
        <v>147</v>
      </c>
      <c r="D96" s="100"/>
      <c r="E96" s="45">
        <v>54</v>
      </c>
    </row>
    <row r="97" spans="1:5" ht="20" customHeight="1" x14ac:dyDescent="0.2">
      <c r="A97" s="97"/>
      <c r="B97" s="98"/>
      <c r="C97" s="99"/>
      <c r="D97" s="100"/>
      <c r="E97" s="45">
        <v>0</v>
      </c>
    </row>
    <row r="98" spans="1:5" ht="13.5" customHeight="1" x14ac:dyDescent="0.2">
      <c r="A98" s="77" t="s">
        <v>95</v>
      </c>
      <c r="B98" s="77"/>
      <c r="C98" s="85"/>
      <c r="D98" s="85"/>
      <c r="E98" s="45">
        <f>C68</f>
        <v>1171</v>
      </c>
    </row>
    <row r="99" spans="1:5" ht="13.5" customHeight="1" x14ac:dyDescent="0.2">
      <c r="C99" s="88" t="s">
        <v>96</v>
      </c>
      <c r="D99" s="88"/>
      <c r="E99" s="47">
        <f>(E30+E94)-SUM(E95:E98)</f>
        <v>1344.54</v>
      </c>
    </row>
    <row r="100" spans="1:5" ht="13.5" customHeight="1" x14ac:dyDescent="0.2">
      <c r="A100" s="24"/>
      <c r="B100" s="24"/>
    </row>
    <row r="101" spans="1:5" ht="13.5" customHeight="1" x14ac:dyDescent="0.2">
      <c r="A101" s="24"/>
      <c r="B101" s="24"/>
    </row>
    <row r="102" spans="1:5" ht="13.5" customHeight="1" x14ac:dyDescent="0.2">
      <c r="A102" s="24"/>
      <c r="B102" s="24"/>
    </row>
    <row r="103" spans="1:5" ht="13.5" customHeight="1" x14ac:dyDescent="0.2">
      <c r="A103" s="24"/>
      <c r="B103" s="24"/>
    </row>
    <row r="104" spans="1:5" ht="13.5" customHeight="1" x14ac:dyDescent="0.2">
      <c r="A104" s="24"/>
      <c r="B104" s="24"/>
    </row>
    <row r="105" spans="1:5" ht="13.5" customHeight="1" x14ac:dyDescent="0.2">
      <c r="A105" s="24"/>
      <c r="B105" s="24"/>
    </row>
    <row r="106" spans="1:5" ht="13.5" customHeight="1" x14ac:dyDescent="0.2">
      <c r="A106" s="24"/>
      <c r="B106" s="24"/>
    </row>
    <row r="107" spans="1:5" ht="13.5" customHeight="1" x14ac:dyDescent="0.2">
      <c r="A107" s="24"/>
      <c r="B107" s="24"/>
    </row>
    <row r="108" spans="1:5" ht="13.5" customHeight="1" x14ac:dyDescent="0.2">
      <c r="A108" s="24"/>
      <c r="B108" s="24"/>
    </row>
    <row r="109" spans="1:5" ht="13.5" customHeight="1" x14ac:dyDescent="0.2">
      <c r="A109" s="24"/>
      <c r="B109" s="24"/>
    </row>
    <row r="110" spans="1:5" ht="13.5" customHeight="1" x14ac:dyDescent="0.2">
      <c r="A110" s="24"/>
      <c r="B110" s="24"/>
    </row>
    <row r="111" spans="1:5" ht="13.5" customHeight="1" x14ac:dyDescent="0.2">
      <c r="A111" s="24"/>
      <c r="B111" s="24"/>
    </row>
    <row r="112" spans="1:5" ht="13.5" customHeight="1" x14ac:dyDescent="0.2">
      <c r="A112" s="24"/>
      <c r="B112" s="24"/>
    </row>
    <row r="113" spans="1:2" ht="13.5" customHeight="1" x14ac:dyDescent="0.2">
      <c r="A113" s="24"/>
      <c r="B113" s="24"/>
    </row>
    <row r="114" spans="1:2" ht="13.5" customHeight="1" x14ac:dyDescent="0.2">
      <c r="A114" s="24"/>
      <c r="B114" s="24"/>
    </row>
    <row r="115" spans="1:2" ht="13.5" customHeight="1" x14ac:dyDescent="0.2">
      <c r="A115" s="24"/>
      <c r="B115" s="24"/>
    </row>
    <row r="116" spans="1:2" ht="13.5" customHeight="1" x14ac:dyDescent="0.2">
      <c r="A116" s="24"/>
      <c r="B116" s="24"/>
    </row>
    <row r="117" spans="1:2" ht="13.5" customHeight="1" x14ac:dyDescent="0.2">
      <c r="A117" s="24"/>
      <c r="B117" s="24"/>
    </row>
    <row r="118" spans="1:2" ht="13.5" customHeight="1" x14ac:dyDescent="0.2">
      <c r="A118" s="24"/>
      <c r="B118" s="24"/>
    </row>
    <row r="119" spans="1:2" ht="13.5" customHeight="1" x14ac:dyDescent="0.2">
      <c r="A119" s="24"/>
      <c r="B119" s="24"/>
    </row>
    <row r="120" spans="1:2" ht="13.5" customHeight="1" x14ac:dyDescent="0.2">
      <c r="A120" s="24"/>
      <c r="B120" s="24"/>
    </row>
    <row r="121" spans="1:2" ht="13.5" customHeight="1" x14ac:dyDescent="0.2">
      <c r="A121" s="24"/>
      <c r="B121" s="24"/>
    </row>
    <row r="122" spans="1:2" ht="13.5" customHeight="1" x14ac:dyDescent="0.2">
      <c r="A122" s="24"/>
      <c r="B122" s="24"/>
    </row>
    <row r="123" spans="1:2" ht="13.5" customHeight="1" x14ac:dyDescent="0.2">
      <c r="A123" s="24"/>
      <c r="B123" s="24"/>
    </row>
    <row r="124" spans="1:2" ht="13.5" customHeight="1" x14ac:dyDescent="0.2">
      <c r="A124" s="24"/>
      <c r="B124" s="24"/>
    </row>
    <row r="125" spans="1:2" ht="13.5" customHeight="1" x14ac:dyDescent="0.2">
      <c r="A125" s="24"/>
      <c r="B125" s="24"/>
    </row>
    <row r="126" spans="1:2" ht="13.5" customHeight="1" x14ac:dyDescent="0.2">
      <c r="A126" s="24"/>
      <c r="B126" s="24"/>
    </row>
    <row r="127" spans="1:2" ht="13.5" customHeight="1" x14ac:dyDescent="0.2">
      <c r="A127" s="24"/>
      <c r="B127" s="24"/>
    </row>
    <row r="128" spans="1:2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</sheetData>
  <mergeCells count="63">
    <mergeCell ref="C99:D99"/>
    <mergeCell ref="A94:B94"/>
    <mergeCell ref="C94:D94"/>
    <mergeCell ref="A98:B98"/>
    <mergeCell ref="C98:D98"/>
    <mergeCell ref="C95:D95"/>
    <mergeCell ref="C96:D96"/>
    <mergeCell ref="C97:D97"/>
    <mergeCell ref="A95:B97"/>
    <mergeCell ref="C83:D83"/>
    <mergeCell ref="C89:D89"/>
    <mergeCell ref="A92:E92"/>
    <mergeCell ref="A93:B93"/>
    <mergeCell ref="C93:D93"/>
    <mergeCell ref="C84:D84"/>
    <mergeCell ref="C85:D85"/>
    <mergeCell ref="C87:D87"/>
    <mergeCell ref="A88:B88"/>
    <mergeCell ref="C88:D88"/>
    <mergeCell ref="C86:D86"/>
    <mergeCell ref="A83:B87"/>
    <mergeCell ref="C78:D78"/>
    <mergeCell ref="A80:E80"/>
    <mergeCell ref="A81:B81"/>
    <mergeCell ref="C81:D81"/>
    <mergeCell ref="A82:B82"/>
    <mergeCell ref="C82:D82"/>
    <mergeCell ref="A74:B76"/>
    <mergeCell ref="C74:D74"/>
    <mergeCell ref="C75:D75"/>
    <mergeCell ref="C76:D76"/>
    <mergeCell ref="A77:B77"/>
    <mergeCell ref="C77:D77"/>
    <mergeCell ref="A64:C64"/>
    <mergeCell ref="A71:E71"/>
    <mergeCell ref="A72:B72"/>
    <mergeCell ref="C72:D72"/>
    <mergeCell ref="A73:B73"/>
    <mergeCell ref="C73:D73"/>
    <mergeCell ref="A39:C40"/>
    <mergeCell ref="A46:C46"/>
    <mergeCell ref="A50:C50"/>
    <mergeCell ref="A53:C53"/>
    <mergeCell ref="A56:C56"/>
    <mergeCell ref="C27:D27"/>
    <mergeCell ref="C28:D28"/>
    <mergeCell ref="C29:D29"/>
    <mergeCell ref="A32:C32"/>
    <mergeCell ref="A34:C34"/>
    <mergeCell ref="A17:E17"/>
    <mergeCell ref="C18:D18"/>
    <mergeCell ref="C19:D19"/>
    <mergeCell ref="C21:D21"/>
    <mergeCell ref="A26:E26"/>
    <mergeCell ref="C20:D20"/>
    <mergeCell ref="C23:D23"/>
    <mergeCell ref="C22:D22"/>
    <mergeCell ref="A1:E1"/>
    <mergeCell ref="A10:E10"/>
    <mergeCell ref="C11:D11"/>
    <mergeCell ref="C12:D12"/>
    <mergeCell ref="C14:D14"/>
    <mergeCell ref="C13:D13"/>
  </mergeCells>
  <conditionalFormatting sqref="C7:C8 E73">
    <cfRule type="cellIs" dxfId="3" priority="2" operator="greaterThanOrEqual">
      <formula>0</formula>
    </cfRule>
    <cfRule type="cellIs" dxfId="2" priority="3" operator="lessThan">
      <formula>0</formula>
    </cfRule>
  </conditionalFormatting>
  <conditionalFormatting sqref="E78 E82 E89 E94 E99">
    <cfRule type="cellIs" dxfId="1" priority="4" operator="greaterThanOrEqual">
      <formula>0</formula>
    </cfRule>
    <cfRule type="cellIs" dxfId="0" priority="5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April 2026 - June 2026</vt:lpstr>
      <vt:lpstr>July 2026- September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alantang</dc:creator>
  <dc:description/>
  <cp:lastModifiedBy>Sing Lun Alan Tang</cp:lastModifiedBy>
  <cp:revision>5</cp:revision>
  <dcterms:created xsi:type="dcterms:W3CDTF">2022-04-23T15:32:00Z</dcterms:created>
  <dcterms:modified xsi:type="dcterms:W3CDTF">2026-09-03T09:02:13Z</dcterms:modified>
  <dc:language>en-GB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CC933F61E1FF404795DFDD3AF7B9E9A4_12</vt:lpwstr>
  </property>
  <property fmtid="{D5CDD505-2E9C-101B-9397-08002B2CF9AE}" pid="4" name="KSOProductBuildVer">
    <vt:lpwstr>1033-12.1.0.25830</vt:lpwstr>
  </property>
</Properties>
</file>