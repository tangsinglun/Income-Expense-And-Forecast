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B33673B5-4568-9945-A58F-D8B82B2477C2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<sst xmlns="http://schemas.openxmlformats.org/spreadsheetml/2006/main" count="419" uniqueCount="173">
  <si>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</si>
  <si>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</si>
  <si>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</si>
  <si>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</si>
  <si>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</si>
  <si>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</si>
  <si>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</si>
  <si>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</si>
  <si>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</si>
  <si>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</si>
  <si>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</si>
  <si>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</si>
  <si>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</si>
  <si>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</si>
  <si>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</si>
  <si>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</si>
  <si>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</si>
  <si>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</si>
  <si>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</si>
  <si>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</si>
  <si>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</si>
  <si>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</si>
  <si>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</si>
  <si>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</si>
  <si>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</si>
  <si>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</si>
  <si>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</si>
  <si>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</si>
  <si>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</si>
  <si>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</si>
  <si>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</si>
  <si>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</si>
  <si>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</si>
  <si>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</si>
  <si>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</si>
  <si>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</si>
  <si>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</si>
  <si>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</si>
  <si>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</si>
  <si>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</si>
  <si>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</si>
  <si>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</si>
  <si>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</si>
  <si>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</si>
  <si>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</si>
  <si>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</si>
  <si>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</si>
  <si>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</si>
  <si>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</si>
  <si>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</si>
  <si>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</si>
  <si>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</si>
  <si>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</si>
  <si>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</si>
  <si>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</si>
  <si>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</si>
  <si>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</si>
  <si>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</si>
  <si>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</si>
  <si>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</si>
  <si>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</si>
  <si>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</si>
  <si>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</si>
  <si>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</si>
  <si>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</si>
  <si>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</si>
  <si>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</si>
  <si>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</si>
  <si>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</si>
  <si>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</si>
  <si>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</si>
  <si>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</si>
  <si>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</si>
  <si>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</si>
  <si>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</si>
  <si>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</si>
  <si>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</si>
  <si>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</si>
  <si>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</si>
  <si>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</si>
  <si>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</si>
  <si>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</si>
  <si>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</si>
  <si>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</si>
  <si>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</si>
  <si>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</si>
  <si>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</si>
  <si>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</si>
  <si>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</si>
  <si>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</si>
  <si>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</si>
  <si>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</si>
  <si>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</si>
  <si>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</si>
  <si>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</si>
  <si>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</si>
  <si>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</si>
  <si>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</si>
  <si>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</si>
  <si>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</si>
  <si>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</si>
  <si>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</si>
  <si>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</si>
  <si>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</si>
  <si>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</si>
  <si>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</si>
  <si>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</si>
  <si>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</si>
  <si>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</si>
  <si>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</si>
  <si>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</si>
  <si>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</si>
  <si>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</si>
  <si>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</si>
  <si>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</si>
  <si>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</si>
  <si>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</si>
  <si>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</si>
  <si>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</si>
  <si>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</si>
  <si>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</si>
  <si>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</si>
  <si>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</si>
  <si>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</si>
  <si>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</si>
  <si>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</si>
  <si>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</si>
  <si>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</si>
  <si>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</si>
  <si>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</si>
  <si>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</si>
  <si>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</si>
  <si>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</si>
  <si>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</si>
  <si>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</si>
  <si>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</si>
  <si>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</si>
  <si>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</si>
  <si>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</si>
  <si>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</si>
  <si>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</si>
  <si>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</si>
  <si>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</si>
  <si>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</si>
  <si>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</si>
  <si>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</si>
  <si>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</si>
  <si>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</si>
  <si>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</si>
  <si>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</si>
  <si>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</si>
  <si>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</si>
  <si>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</si>
  <si>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</si>
  <si>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</si>
  <si>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</si>
  <si>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</si>
  <si>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</si>
  <si>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</si>
  <si>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</si>
  <si>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</si>
  <si>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</si>
  <si>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</si>
  <si>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</si>
  <si>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</si>
  <si>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</si>
  <si>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</si>
  <si>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</si>
  <si>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</si>
  <si>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</si>
  <si>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1. Top up $50 for Octopus</t>
  </si>
  <si>
    <t>~ Additional fees for cigarette (change from e-cigarette to cigarette) 18/09 - $380
~ OK Store buy additional 1 packet cigarette 18/09 - $78
~ Round Trip to East Kowloon hospital 02/10 - $4
~ Debit For Octopus Card ($50). 18/09</t>
  </si>
  <si>
    <t>Partial Food And Snack Prepaid on the Previous Month
~ Food
   ~ HKTV mall 18/09 - $339.9
~ Snack And Drinks
   ~ 7 Eleven 18/09 - $12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</si>
</sst>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D5" sqref="D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0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1342.2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43.6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1497.3999999999999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8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3" t="s">
        <v>15</v>
      </c>
      <c r="D12" s="10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4" t="s">
        <v>17</v>
      </c>
      <c r="D13" s="104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8" t="s">
        <v>29</v>
      </c>
      <c r="D19" s="98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6" t="s">
        <v>31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9" t="s">
        <v>11</v>
      </c>
      <c r="D23" s="99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93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67" t="s">
        <v>36</v>
      </c>
      <c r="D28" s="6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6" t="s">
        <v>37</v>
      </c>
      <c r="B31" s="96"/>
      <c r="C31" s="96"/>
      <c r="D31" s="96"/>
      <c r="E31" s="9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7" t="s">
        <v>11</v>
      </c>
      <c r="D32" s="9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0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90" t="s">
        <v>115</v>
      </c>
      <c r="D36" s="92"/>
      <c r="E36" s="33">
        <v>800</v>
      </c>
    </row>
    <row r="37" spans="1:5" ht="33.75" customHeight="1" x14ac:dyDescent="0.2">
      <c r="A37" s="6"/>
      <c r="B37" s="50" t="s">
        <v>28</v>
      </c>
      <c r="C37" s="93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7" t="s">
        <v>40</v>
      </c>
      <c r="B40" s="87"/>
      <c r="C40" s="8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4" t="s">
        <v>41</v>
      </c>
      <c r="B42" s="84"/>
      <c r="C42" s="8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8" t="s">
        <v>47</v>
      </c>
      <c r="B47" s="88"/>
      <c r="C47" s="88"/>
    </row>
    <row r="48" spans="1:5" ht="13.5" customHeight="1" x14ac:dyDescent="0.2">
      <c r="A48" s="88"/>
      <c r="B48" s="88"/>
      <c r="C48" s="8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4" t="s">
        <v>53</v>
      </c>
      <c r="B54" s="84"/>
      <c r="C54" s="8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4" t="s">
        <v>59</v>
      </c>
      <c r="B58" s="84"/>
      <c r="C58" s="8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4" t="s">
        <v>63</v>
      </c>
      <c r="B61" s="84"/>
      <c r="C61" s="8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5" t="s">
        <v>67</v>
      </c>
      <c r="B64" s="85"/>
      <c r="C64" s="85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5" t="s">
        <v>79</v>
      </c>
      <c r="B72" s="85"/>
      <c r="C72" s="85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6" t="s">
        <v>83</v>
      </c>
      <c r="B80" s="86"/>
      <c r="C80" s="86" t="s">
        <v>11</v>
      </c>
      <c r="D80" s="86"/>
      <c r="E80" s="44" t="s">
        <v>12</v>
      </c>
    </row>
    <row r="81" spans="1:5" ht="24" customHeight="1" x14ac:dyDescent="0.2">
      <c r="A81" s="79" t="s">
        <v>84</v>
      </c>
      <c r="B81" s="79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80" t="s">
        <v>85</v>
      </c>
      <c r="D82" s="80"/>
      <c r="E82" s="45">
        <v>168</v>
      </c>
    </row>
    <row r="83" spans="1:5" ht="220.5" customHeight="1" x14ac:dyDescent="0.2">
      <c r="A83" s="57"/>
      <c r="B83" s="57"/>
      <c r="C83" s="80" t="s">
        <v>86</v>
      </c>
      <c r="D83" s="80"/>
      <c r="E83" s="45">
        <v>507.7</v>
      </c>
    </row>
    <row r="84" spans="1:5" x14ac:dyDescent="0.2">
      <c r="A84" s="57"/>
      <c r="B84" s="57"/>
      <c r="C84" s="80" t="s">
        <v>87</v>
      </c>
      <c r="D84" s="80"/>
      <c r="E84" s="45">
        <v>1728</v>
      </c>
    </row>
    <row r="85" spans="1:5" ht="17.25" customHeight="1" x14ac:dyDescent="0.2">
      <c r="A85" s="57"/>
      <c r="B85" s="57"/>
      <c r="C85" s="81" t="s">
        <v>88</v>
      </c>
      <c r="D85" s="81"/>
      <c r="E85" s="45">
        <v>50</v>
      </c>
    </row>
    <row r="86" spans="1:5" ht="17.25" customHeight="1" x14ac:dyDescent="0.2">
      <c r="A86" s="57"/>
      <c r="B86" s="57"/>
      <c r="C86" s="82" t="s">
        <v>89</v>
      </c>
      <c r="D86" s="82"/>
      <c r="E86" s="45">
        <v>418</v>
      </c>
    </row>
    <row r="87" spans="1:5" ht="17.25" customHeight="1" x14ac:dyDescent="0.2">
      <c r="A87" s="57"/>
      <c r="B87" s="57"/>
      <c r="C87" s="81" t="s">
        <v>90</v>
      </c>
      <c r="D87" s="81"/>
      <c r="E87" s="45">
        <v>697</v>
      </c>
    </row>
    <row r="88" spans="1:5" ht="42" customHeight="1" x14ac:dyDescent="0.2">
      <c r="A88" s="57"/>
      <c r="B88" s="57"/>
      <c r="C88" s="80" t="s">
        <v>91</v>
      </c>
      <c r="D88" s="80"/>
      <c r="E88" s="45">
        <v>5.4</v>
      </c>
    </row>
    <row r="89" spans="1:5" ht="17.25" customHeight="1" x14ac:dyDescent="0.2">
      <c r="A89" s="57"/>
      <c r="B89" s="57"/>
      <c r="C89" s="82" t="s">
        <v>92</v>
      </c>
      <c r="D89" s="82"/>
      <c r="E89" s="45">
        <v>136</v>
      </c>
    </row>
    <row r="90" spans="1:5" ht="17.25" customHeight="1" x14ac:dyDescent="0.2">
      <c r="A90" s="57"/>
      <c r="B90" s="57"/>
      <c r="C90" s="82" t="s">
        <v>93</v>
      </c>
      <c r="D90" s="82"/>
      <c r="E90" s="45">
        <v>112.3</v>
      </c>
    </row>
    <row r="91" spans="1:5" ht="17.25" customHeight="1" x14ac:dyDescent="0.2">
      <c r="A91" s="57"/>
      <c r="B91" s="57"/>
      <c r="C91" s="83" t="s">
        <v>94</v>
      </c>
      <c r="D91" s="83"/>
      <c r="E91" s="45">
        <v>366.38</v>
      </c>
    </row>
    <row r="92" spans="1:5" ht="13.5" customHeight="1" x14ac:dyDescent="0.2">
      <c r="A92" s="76" t="s">
        <v>95</v>
      </c>
      <c r="B92" s="76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60" t="s">
        <v>97</v>
      </c>
      <c r="B97" s="60"/>
      <c r="C97" s="58"/>
      <c r="D97" s="58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75" t="s">
        <v>113</v>
      </c>
      <c r="D99" s="75"/>
      <c r="E99" s="48">
        <v>900.2</v>
      </c>
    </row>
    <row r="100" spans="1:5" ht="73.5" customHeight="1" x14ac:dyDescent="0.2">
      <c r="A100" s="57"/>
      <c r="B100" s="57"/>
      <c r="C100" s="75" t="s">
        <v>111</v>
      </c>
      <c r="D100" s="75"/>
      <c r="E100" s="48">
        <v>656.4</v>
      </c>
    </row>
    <row r="101" spans="1:5" ht="118.5" customHeight="1" x14ac:dyDescent="0.2">
      <c r="A101" s="57"/>
      <c r="B101" s="57"/>
      <c r="C101" s="75" t="s">
        <v>110</v>
      </c>
      <c r="D101" s="75"/>
      <c r="E101" s="48">
        <v>167.4</v>
      </c>
    </row>
    <row r="102" spans="1:5" ht="129.75" customHeight="1" x14ac:dyDescent="0.2">
      <c r="A102" s="57"/>
      <c r="B102" s="57"/>
      <c r="C102" s="70" t="s">
        <v>99</v>
      </c>
      <c r="D102" s="71"/>
      <c r="E102" s="48">
        <v>1109</v>
      </c>
    </row>
    <row r="103" spans="1:5" ht="13.5" customHeight="1" x14ac:dyDescent="0.2">
      <c r="A103" s="57" t="s">
        <v>95</v>
      </c>
      <c r="B103" s="57"/>
      <c r="C103" s="58"/>
      <c r="D103" s="58"/>
      <c r="E103" s="45">
        <f>C76</f>
        <v>1367</v>
      </c>
    </row>
    <row r="104" spans="1:5" ht="13.5" customHeight="1" x14ac:dyDescent="0.2">
      <c r="C104" s="59" t="s">
        <v>96</v>
      </c>
      <c r="D104" s="5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60" t="s">
        <v>100</v>
      </c>
      <c r="B109" s="60"/>
      <c r="C109" s="58"/>
      <c r="D109" s="58"/>
      <c r="E109" s="47">
        <f>E104</f>
        <v>228.5</v>
      </c>
    </row>
    <row r="110" spans="1:5" ht="333" customHeight="1" x14ac:dyDescent="0.2">
      <c r="A110" s="61" t="s">
        <v>67</v>
      </c>
      <c r="B110" s="62"/>
      <c r="C110" s="67" t="s">
        <v>117</v>
      </c>
      <c r="D110" s="67"/>
      <c r="E110" s="45">
        <v>870.3</v>
      </c>
    </row>
    <row r="111" spans="1:5" ht="152" customHeight="1" x14ac:dyDescent="0.2">
      <c r="A111" s="63"/>
      <c r="B111" s="64"/>
      <c r="C111" s="68" t="s">
        <v>116</v>
      </c>
      <c r="D111" s="69"/>
      <c r="E111" s="45">
        <v>1428</v>
      </c>
    </row>
    <row r="112" spans="1:5" ht="151" customHeight="1" x14ac:dyDescent="0.2">
      <c r="A112" s="65"/>
      <c r="B112" s="66"/>
      <c r="C112" s="70" t="s">
        <v>120</v>
      </c>
      <c r="D112" s="71"/>
      <c r="E112" s="45">
        <v>225.5</v>
      </c>
    </row>
    <row r="113" spans="1:5" ht="13.5" customHeight="1" x14ac:dyDescent="0.2">
      <c r="A113" s="57" t="s">
        <v>95</v>
      </c>
      <c r="B113" s="57"/>
      <c r="C113" s="58"/>
      <c r="D113" s="58"/>
      <c r="E113" s="45">
        <f>C76</f>
        <v>1367</v>
      </c>
    </row>
    <row r="114" spans="1:5" ht="13.5" customHeight="1" x14ac:dyDescent="0.2">
      <c r="C114" s="59" t="s">
        <v>96</v>
      </c>
      <c r="D114" s="5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topLeftCell="A4" zoomScale="150" zoomScaleNormal="130" workbookViewId="0">
      <selection activeCell="G98" sqref="G9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101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1342.2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43.6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1497.3999999999999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102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3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6" t="s">
        <v>104</v>
      </c>
      <c r="B17" s="96"/>
      <c r="C17" s="96"/>
      <c r="D17" s="96"/>
      <c r="E17" s="9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7" t="s">
        <v>11</v>
      </c>
      <c r="D18" s="9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0" t="s">
        <v>145</v>
      </c>
      <c r="D20" s="9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2" t="s">
        <v>137</v>
      </c>
      <c r="D21" s="113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90" t="s">
        <v>167</v>
      </c>
      <c r="D22" s="91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90" t="s">
        <v>161</v>
      </c>
      <c r="D23" s="9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96" t="s">
        <v>105</v>
      </c>
      <c r="B26" s="96"/>
      <c r="C26" s="96"/>
      <c r="D26" s="96"/>
      <c r="E26" s="9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7" t="s">
        <v>11</v>
      </c>
      <c r="D27" s="97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89" t="s">
        <v>123</v>
      </c>
      <c r="D29" s="89"/>
      <c r="E29" s="29">
        <v>55</v>
      </c>
    </row>
    <row r="30" spans="1:25" ht="13.5" customHeight="1" x14ac:dyDescent="0.2">
      <c r="A30" s="50" t="s">
        <v>139</v>
      </c>
      <c r="B30" s="50" t="s">
        <v>28</v>
      </c>
      <c r="C30" s="115" t="s">
        <v>170</v>
      </c>
      <c r="D30" s="89"/>
      <c r="E30" s="29">
        <v>50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2590</v>
      </c>
    </row>
    <row r="32" spans="1:25" ht="13.5" customHeight="1" x14ac:dyDescent="0.2">
      <c r="A32" s="24"/>
      <c r="B32" s="24"/>
    </row>
    <row r="33" spans="1:4" ht="15" customHeight="1" x14ac:dyDescent="0.2">
      <c r="A33" s="87" t="s">
        <v>106</v>
      </c>
      <c r="B33" s="87"/>
      <c r="C33" s="87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4" t="s">
        <v>41</v>
      </c>
      <c r="B35" s="84"/>
      <c r="C35" s="84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8" t="s">
        <v>47</v>
      </c>
      <c r="B40" s="88"/>
      <c r="C40" s="88"/>
    </row>
    <row r="41" spans="1:4" ht="13.5" customHeight="1" x14ac:dyDescent="0.2">
      <c r="A41" s="88"/>
      <c r="B41" s="88"/>
      <c r="C41" s="88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4" t="s">
        <v>53</v>
      </c>
      <c r="B47" s="84"/>
      <c r="C47" s="84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4" t="s">
        <v>59</v>
      </c>
      <c r="B51" s="84"/>
      <c r="C51" s="84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4" t="s">
        <v>63</v>
      </c>
      <c r="B54" s="84"/>
      <c r="C54" s="84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5" t="s">
        <v>67</v>
      </c>
      <c r="B57" s="85"/>
      <c r="C57" s="85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5" t="s">
        <v>79</v>
      </c>
      <c r="B65" s="85"/>
      <c r="C65" s="85"/>
    </row>
    <row r="66" spans="1:8" ht="13.5" customHeight="1" x14ac:dyDescent="0.2">
      <c r="A66" s="7" t="s">
        <v>24</v>
      </c>
      <c r="B66" s="7"/>
      <c r="C66" s="19">
        <v>100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350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86" t="s">
        <v>83</v>
      </c>
      <c r="B73" s="86"/>
      <c r="C73" s="86" t="s">
        <v>11</v>
      </c>
      <c r="D73" s="86"/>
      <c r="E73" s="44" t="s">
        <v>12</v>
      </c>
    </row>
    <row r="74" spans="1:8" ht="24" customHeight="1" x14ac:dyDescent="0.2">
      <c r="A74" s="60" t="s">
        <v>107</v>
      </c>
      <c r="B74" s="60"/>
      <c r="C74" s="57"/>
      <c r="D74" s="57"/>
      <c r="E74" s="47">
        <f>'April 2026 - June 2026'!E114</f>
        <v>110.69999999999982</v>
      </c>
    </row>
    <row r="75" spans="1:8" ht="39" customHeight="1" x14ac:dyDescent="0.2">
      <c r="A75" s="76" t="s">
        <v>67</v>
      </c>
      <c r="B75" s="76"/>
      <c r="C75" s="75" t="s">
        <v>121</v>
      </c>
      <c r="D75" s="75"/>
      <c r="E75" s="45">
        <v>600</v>
      </c>
    </row>
    <row r="76" spans="1:8" ht="259" customHeight="1" x14ac:dyDescent="0.2">
      <c r="A76" s="76"/>
      <c r="B76" s="76"/>
      <c r="C76" s="111" t="s">
        <v>133</v>
      </c>
      <c r="D76" s="74"/>
      <c r="E76" s="45">
        <v>1117.5</v>
      </c>
    </row>
    <row r="77" spans="1:8" ht="146" customHeight="1" x14ac:dyDescent="0.2">
      <c r="A77" s="76"/>
      <c r="B77" s="76"/>
      <c r="C77" s="111" t="s">
        <v>134</v>
      </c>
      <c r="D77" s="82"/>
      <c r="E77" s="45">
        <v>508</v>
      </c>
    </row>
    <row r="78" spans="1:8" ht="13.5" customHeight="1" x14ac:dyDescent="0.2">
      <c r="A78" s="76" t="s">
        <v>95</v>
      </c>
      <c r="B78" s="76"/>
      <c r="C78" s="77"/>
      <c r="D78" s="77"/>
      <c r="E78" s="46">
        <f>C69</f>
        <v>1171</v>
      </c>
    </row>
    <row r="79" spans="1:8" ht="13.5" customHeight="1" x14ac:dyDescent="0.2">
      <c r="C79" s="78" t="s">
        <v>96</v>
      </c>
      <c r="D79" s="7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60" t="s">
        <v>108</v>
      </c>
      <c r="B83" s="60"/>
      <c r="C83" s="58"/>
      <c r="D83" s="58"/>
      <c r="E83" s="47">
        <f>E79</f>
        <v>24.599999999999909</v>
      </c>
    </row>
    <row r="84" spans="1:5" ht="56" customHeight="1" x14ac:dyDescent="0.2">
      <c r="A84" s="61" t="s">
        <v>67</v>
      </c>
      <c r="B84" s="62"/>
      <c r="C84" s="107" t="s">
        <v>142</v>
      </c>
      <c r="D84" s="108"/>
      <c r="E84" s="48">
        <v>830.4</v>
      </c>
    </row>
    <row r="85" spans="1:5" ht="149" customHeight="1" x14ac:dyDescent="0.2">
      <c r="A85" s="63"/>
      <c r="B85" s="64"/>
      <c r="C85" s="75" t="s">
        <v>146</v>
      </c>
      <c r="D85" s="75"/>
      <c r="E85" s="48">
        <v>721.4</v>
      </c>
    </row>
    <row r="86" spans="1:5" ht="234" customHeight="1" x14ac:dyDescent="0.2">
      <c r="A86" s="63"/>
      <c r="B86" s="64"/>
      <c r="C86" s="70" t="s">
        <v>169</v>
      </c>
      <c r="D86" s="109"/>
      <c r="E86" s="48">
        <v>956.5</v>
      </c>
    </row>
    <row r="87" spans="1:5" ht="40" customHeight="1" x14ac:dyDescent="0.2">
      <c r="A87" s="63"/>
      <c r="B87" s="64"/>
      <c r="C87" s="107" t="s">
        <v>144</v>
      </c>
      <c r="D87" s="110"/>
      <c r="E87" s="48">
        <v>196.54</v>
      </c>
    </row>
    <row r="88" spans="1:5" ht="80" customHeight="1" x14ac:dyDescent="0.2">
      <c r="A88" s="65"/>
      <c r="B88" s="66"/>
      <c r="C88" s="70" t="s">
        <v>143</v>
      </c>
      <c r="D88" s="109"/>
      <c r="E88" s="55">
        <v>426</v>
      </c>
    </row>
    <row r="89" spans="1:5" ht="19.5" customHeight="1" x14ac:dyDescent="0.2">
      <c r="A89" s="57" t="s">
        <v>95</v>
      </c>
      <c r="B89" s="57"/>
      <c r="C89" s="58"/>
      <c r="D89" s="58"/>
      <c r="E89" s="45">
        <f>C69</f>
        <v>1171</v>
      </c>
    </row>
    <row r="90" spans="1:5" ht="13.5" customHeight="1" x14ac:dyDescent="0.2">
      <c r="C90" s="59" t="s">
        <v>96</v>
      </c>
      <c r="D90" s="59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2" t="s">
        <v>130</v>
      </c>
      <c r="B93" s="72"/>
      <c r="C93" s="72"/>
      <c r="D93" s="72"/>
      <c r="E93" s="72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60" t="s">
        <v>109</v>
      </c>
      <c r="B95" s="60"/>
      <c r="C95" s="58"/>
      <c r="D95" s="58"/>
      <c r="E95" s="47">
        <f>E90</f>
        <v>44.940000000000509</v>
      </c>
    </row>
    <row r="96" spans="1:5" ht="31" customHeight="1" x14ac:dyDescent="0.2">
      <c r="A96" s="61" t="s">
        <v>67</v>
      </c>
      <c r="B96" s="62"/>
      <c r="C96" s="107" t="s">
        <v>166</v>
      </c>
      <c r="D96" s="108"/>
      <c r="E96" s="45">
        <v>250</v>
      </c>
    </row>
    <row r="97" spans="1:5" ht="88" customHeight="1" x14ac:dyDescent="0.2">
      <c r="A97" s="63"/>
      <c r="B97" s="64"/>
      <c r="C97" s="105" t="s">
        <v>172</v>
      </c>
      <c r="D97" s="106"/>
      <c r="E97" s="45">
        <v>351.9</v>
      </c>
    </row>
    <row r="98" spans="1:5" ht="95" customHeight="1" x14ac:dyDescent="0.2">
      <c r="A98" s="63"/>
      <c r="B98" s="64"/>
      <c r="C98" s="105" t="s">
        <v>171</v>
      </c>
      <c r="D98" s="106"/>
      <c r="E98" s="45">
        <v>128</v>
      </c>
    </row>
    <row r="99" spans="1:5" ht="20" customHeight="1" x14ac:dyDescent="0.2">
      <c r="A99" s="65"/>
      <c r="B99" s="66"/>
      <c r="C99" s="105" t="s">
        <v>165</v>
      </c>
      <c r="D99" s="106"/>
      <c r="E99" s="45">
        <v>136.63999999999999</v>
      </c>
    </row>
    <row r="100" spans="1:5" ht="13.5" customHeight="1" x14ac:dyDescent="0.2">
      <c r="A100" s="57" t="s">
        <v>95</v>
      </c>
      <c r="B100" s="57"/>
      <c r="C100" s="58"/>
      <c r="D100" s="58"/>
      <c r="E100" s="45">
        <f>C69</f>
        <v>1171</v>
      </c>
    </row>
    <row r="101" spans="1:5" ht="13.5" customHeight="1" x14ac:dyDescent="0.2">
      <c r="C101" s="59" t="s">
        <v>96</v>
      </c>
      <c r="D101" s="59"/>
      <c r="E101" s="47">
        <f>(E31+E95)-SUM(E96:E100)</f>
        <v>597.40000000000055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20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149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1342.2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43.6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1497.3999999999999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152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6" t="s">
        <v>153</v>
      </c>
      <c r="B16" s="96"/>
      <c r="C16" s="96"/>
      <c r="D16" s="96"/>
      <c r="E16" s="9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97" t="s">
        <v>11</v>
      </c>
      <c r="D17" s="97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112"/>
      <c r="D19" s="11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6" t="s">
        <v>158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97" t="s">
        <v>11</v>
      </c>
      <c r="D23" s="97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7" t="s">
        <v>151</v>
      </c>
      <c r="B28" s="87"/>
      <c r="C28" s="8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4" t="s">
        <v>41</v>
      </c>
      <c r="B30" s="84"/>
      <c r="C30" s="8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8" t="s">
        <v>47</v>
      </c>
      <c r="B35" s="88"/>
      <c r="C35" s="88"/>
    </row>
    <row r="36" spans="1:3" ht="13.5" customHeight="1" x14ac:dyDescent="0.2">
      <c r="A36" s="88"/>
      <c r="B36" s="88"/>
      <c r="C36" s="88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4" t="s">
        <v>53</v>
      </c>
      <c r="B42" s="84"/>
      <c r="C42" s="8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4" t="s">
        <v>59</v>
      </c>
      <c r="B46" s="84"/>
      <c r="C46" s="8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4" t="s">
        <v>63</v>
      </c>
      <c r="B49" s="84"/>
      <c r="C49" s="8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5" t="s">
        <v>67</v>
      </c>
      <c r="B52" s="85"/>
      <c r="C52" s="85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5" t="s">
        <v>79</v>
      </c>
      <c r="B60" s="85"/>
      <c r="C60" s="85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86" t="s">
        <v>83</v>
      </c>
      <c r="B68" s="86"/>
      <c r="C68" s="86" t="s">
        <v>11</v>
      </c>
      <c r="D68" s="86"/>
      <c r="E68" s="44" t="s">
        <v>12</v>
      </c>
    </row>
    <row r="69" spans="1:5" ht="24" customHeight="1" x14ac:dyDescent="0.2">
      <c r="A69" s="60" t="s">
        <v>160</v>
      </c>
      <c r="B69" s="60"/>
      <c r="C69" s="57"/>
      <c r="D69" s="57"/>
      <c r="E69" s="47">
        <f>'July 2026- September 2026'!E101</f>
        <v>597.40000000000055</v>
      </c>
    </row>
    <row r="70" spans="1:5" ht="48" customHeight="1" x14ac:dyDescent="0.2">
      <c r="A70" s="76" t="s">
        <v>67</v>
      </c>
      <c r="B70" s="76"/>
      <c r="C70" s="75" t="s">
        <v>168</v>
      </c>
      <c r="D70" s="75"/>
      <c r="E70" s="45">
        <v>350</v>
      </c>
    </row>
    <row r="71" spans="1:5" ht="47" customHeight="1" x14ac:dyDescent="0.2">
      <c r="A71" s="76"/>
      <c r="B71" s="76"/>
      <c r="C71" s="111" t="s">
        <v>162</v>
      </c>
      <c r="D71" s="74"/>
      <c r="E71" s="45">
        <v>0</v>
      </c>
    </row>
    <row r="72" spans="1:5" ht="23" customHeight="1" x14ac:dyDescent="0.2">
      <c r="A72" s="76"/>
      <c r="B72" s="76"/>
      <c r="C72" s="111"/>
      <c r="D72" s="82"/>
      <c r="E72" s="45">
        <v>0</v>
      </c>
    </row>
    <row r="73" spans="1:5" ht="20" customHeight="1" x14ac:dyDescent="0.2">
      <c r="A73" s="76" t="s">
        <v>95</v>
      </c>
      <c r="B73" s="76"/>
      <c r="C73" s="77"/>
      <c r="D73" s="77"/>
      <c r="E73" s="46">
        <f>C64</f>
        <v>1555</v>
      </c>
    </row>
    <row r="74" spans="1:5" ht="22" customHeight="1" x14ac:dyDescent="0.2">
      <c r="C74" s="78" t="s">
        <v>96</v>
      </c>
      <c r="D74" s="78"/>
      <c r="E74" s="47">
        <f>(E14+E69)-SUM(E70:E73)</f>
        <v>1177.4000000000005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60" t="s">
        <v>148</v>
      </c>
      <c r="B78" s="60"/>
      <c r="C78" s="58"/>
      <c r="D78" s="58"/>
      <c r="E78" s="47">
        <f>E74</f>
        <v>1177.4000000000005</v>
      </c>
    </row>
    <row r="79" spans="1:5" ht="30" customHeight="1" x14ac:dyDescent="0.2">
      <c r="A79" s="61" t="s">
        <v>67</v>
      </c>
      <c r="B79" s="62"/>
      <c r="C79" s="107"/>
      <c r="D79" s="108"/>
      <c r="E79" s="48">
        <v>0</v>
      </c>
    </row>
    <row r="80" spans="1:5" ht="39" customHeight="1" x14ac:dyDescent="0.2">
      <c r="A80" s="63"/>
      <c r="B80" s="64"/>
      <c r="C80" s="75" t="s">
        <v>162</v>
      </c>
      <c r="D80" s="75"/>
      <c r="E80" s="48">
        <v>0</v>
      </c>
    </row>
    <row r="81" spans="1:5" ht="22" customHeight="1" x14ac:dyDescent="0.2">
      <c r="A81" s="63"/>
      <c r="B81" s="64"/>
      <c r="C81" s="70"/>
      <c r="D81" s="109"/>
      <c r="E81" s="48">
        <v>0</v>
      </c>
    </row>
    <row r="82" spans="1:5" ht="24" customHeight="1" x14ac:dyDescent="0.2">
      <c r="A82" s="63"/>
      <c r="B82" s="64"/>
      <c r="C82" s="107"/>
      <c r="D82" s="110"/>
      <c r="E82" s="48">
        <v>0</v>
      </c>
    </row>
    <row r="83" spans="1:5" ht="24" customHeight="1" x14ac:dyDescent="0.2">
      <c r="A83" s="65"/>
      <c r="B83" s="66"/>
      <c r="C83" s="70"/>
      <c r="D83" s="109"/>
      <c r="E83" s="55">
        <v>0</v>
      </c>
    </row>
    <row r="84" spans="1:5" ht="19.5" customHeight="1" x14ac:dyDescent="0.2">
      <c r="A84" s="57" t="s">
        <v>95</v>
      </c>
      <c r="B84" s="57"/>
      <c r="C84" s="58"/>
      <c r="D84" s="58"/>
      <c r="E84" s="45">
        <f>C64</f>
        <v>1555</v>
      </c>
    </row>
    <row r="85" spans="1:5" ht="13.5" customHeight="1" x14ac:dyDescent="0.2">
      <c r="C85" s="59" t="s">
        <v>96</v>
      </c>
      <c r="D85" s="59"/>
      <c r="E85" s="47">
        <f>(E20+E78)-SUM(E79:E84)</f>
        <v>2107.4000000000005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159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60" t="s">
        <v>157</v>
      </c>
      <c r="B90" s="60"/>
      <c r="C90" s="58"/>
      <c r="D90" s="58"/>
      <c r="E90" s="47">
        <f>E85</f>
        <v>2107.4000000000005</v>
      </c>
    </row>
    <row r="91" spans="1:5" ht="23" customHeight="1" x14ac:dyDescent="0.2">
      <c r="A91" s="61" t="s">
        <v>67</v>
      </c>
      <c r="B91" s="62"/>
      <c r="C91" s="105"/>
      <c r="D91" s="106"/>
      <c r="E91" s="45">
        <v>0</v>
      </c>
    </row>
    <row r="92" spans="1:5" ht="43" customHeight="1" x14ac:dyDescent="0.2">
      <c r="A92" s="63"/>
      <c r="B92" s="64"/>
      <c r="C92" s="105" t="s">
        <v>162</v>
      </c>
      <c r="D92" s="106"/>
      <c r="E92" s="45">
        <v>0</v>
      </c>
    </row>
    <row r="93" spans="1:5" ht="20" customHeight="1" x14ac:dyDescent="0.2">
      <c r="A93" s="65"/>
      <c r="B93" s="66"/>
      <c r="C93" s="105"/>
      <c r="D93" s="106"/>
      <c r="E93" s="45">
        <v>0</v>
      </c>
    </row>
    <row r="94" spans="1:5" ht="22" customHeight="1" x14ac:dyDescent="0.2">
      <c r="A94" s="57" t="s">
        <v>95</v>
      </c>
      <c r="B94" s="57"/>
      <c r="C94" s="58"/>
      <c r="D94" s="58"/>
      <c r="E94" s="45">
        <f>C64</f>
        <v>1555</v>
      </c>
    </row>
    <row r="95" spans="1:5" ht="19" customHeight="1" x14ac:dyDescent="0.2">
      <c r="C95" s="59" t="s">
        <v>96</v>
      </c>
      <c r="D95" s="59"/>
      <c r="E95" s="47">
        <f>(E26+E90)-SUM(E91:E94)</f>
        <v>3037.4000000000005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2026-09-17T20:42:20Z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