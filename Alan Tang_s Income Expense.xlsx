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584049BE-EF2B-C548-90E7-9217FEA77DAB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8" i="3" l="1"/>
  <c r="C64" i="3"/>
  <c r="E94" i="3" s="1"/>
  <c r="E84" i="3"/>
  <c r="E73" i="3"/>
  <c r="C68" i="2"/>
  <c r="E77" i="2" s="1"/>
  <c r="E78" i="2" s="1"/>
  <c r="E82" i="2" s="1"/>
  <c r="E88" i="2" l="1"/>
  <c r="E89" i="2" s="1"/>
  <c r="E94" i="2" s="1"/>
  <c r="E99" i="2"/>
  <c r="E100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<sst xmlns="http://schemas.openxmlformats.org/spreadsheetml/2006/main" count="412" uniqueCount="171">
  <si>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</si>
  <si>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</si>
  <si>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</si>
  <si>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</si>
  <si>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</si>
  <si>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</si>
  <si>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</si>
  <si>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</si>
  <si>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</si>
  <si>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</si>
  <si>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</si>
  <si>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</si>
  <si>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</si>
  <si>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</si>
  <si>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</si>
  <si>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</si>
  <si>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</si>
  <si>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</si>
  <si>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</si>
  <si>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</si>
  <si>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</si>
  <si>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</si>
  <si>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</si>
  <si>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</si>
  <si>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</si>
  <si>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</si>
  <si>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</si>
  <si>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</si>
  <si>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</si>
  <si>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</si>
  <si>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</si>
  <si>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</si>
  <si>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</si>
  <si>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</si>
  <si>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</si>
  <si>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</si>
  <si>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</si>
  <si>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</si>
  <si>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</si>
  <si>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</si>
  <si>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</si>
  <si>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</si>
  <si>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</si>
  <si>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</si>
  <si>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</si>
  <si>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</si>
  <si>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</si>
  <si>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</si>
  <si>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</si>
  <si>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</si>
  <si>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</si>
  <si>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</si>
  <si>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</si>
  <si>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</si>
  <si>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</si>
  <si>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</si>
  <si>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</si>
  <si>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</si>
  <si>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</si>
  <si>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</si>
  <si>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</si>
  <si>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</si>
  <si>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</si>
  <si>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</si>
  <si>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</si>
  <si>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</si>
  <si>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</si>
  <si>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</si>
  <si>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</si>
  <si>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</si>
  <si>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</si>
  <si>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</si>
  <si>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</si>
  <si>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</si>
  <si>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</si>
  <si>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</si>
  <si>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</si>
  <si>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</si>
  <si>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</si>
  <si>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</si>
  <si>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</si>
  <si>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</si>
  <si>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</si>
  <si>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</si>
  <si>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</si>
  <si>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</si>
  <si>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</si>
  <si>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</si>
  <si>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</si>
  <si>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</si>
  <si>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</si>
  <si>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</si>
  <si>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</si>
  <si>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</si>
  <si>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</si>
  <si>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</si>
  <si>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</si>
  <si>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</si>
  <si>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</si>
  <si>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</si>
  <si>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</si>
  <si>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</si>
  <si>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</si>
  <si>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</si>
  <si>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</si>
  <si>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</si>
  <si>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</si>
  <si>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</si>
  <si>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</si>
  <si>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</si>
  <si>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</si>
  <si>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</si>
  <si>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</si>
  <si>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</si>
  <si>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</si>
  <si>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</si>
  <si>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</si>
  <si>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</si>
  <si>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</si>
  <si>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</si>
  <si>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</si>
  <si>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</si>
  <si>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</si>
  <si>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</si>
  <si>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</si>
  <si>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</si>
  <si>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</si>
  <si>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</si>
  <si>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</si>
  <si>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</si>
  <si>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</si>
  <si>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</si>
  <si>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</si>
  <si>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</si>
  <si>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</si>
  <si>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</si>
  <si>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</si>
  <si>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</si>
  <si>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</si>
  <si>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</si>
  <si>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</si>
  <si>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</si>
  <si>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</si>
  <si>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</si>
  <si>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</si>
  <si>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</si>
  <si>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</si>
  <si>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</si>
  <si>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</si>
  <si>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</si>
  <si>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</si>
  <si>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</si>
  <si>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</si>
  <si>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</si>
  <si>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</si>
  <si>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</si>
  <si>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</si>
  <si>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</si>
  <si>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</si>
  <si>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</si>
  <si>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</si>
  <si>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</si>
  <si>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</si>
  <si>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</si>
  <si>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</si>
  <si>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</t>
  </si>
  <si>
    <t>~ Payback $500 to Lawrence</t>
  </si>
  <si>
    <t>e-cigarette plus transport fees</t>
  </si>
  <si>
    <t>Vist Psychology Doctor plus transport</t>
  </si>
  <si>
    <t>~ Additional fees for e-cigarette machine 18/09 - $250
~ Additional transport fees for e-cigarette 18/09 - $50
~ Round Trip to East Kowloon hospital 02/10 - $4</t>
  </si>
  <si>
    <t>~ iHerb Aveeno Lotion 18/09 - $136.64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</si>
</sst>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68"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6"/>
  <sheetViews>
    <sheetView tabSelected="1" topLeftCell="A37" zoomScale="150" zoomScaleNormal="130" workbookViewId="0">
      <selection activeCell="D68" sqref="D6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6" t="s">
        <v>15</v>
      </c>
      <c r="D12" s="116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147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3" t="s">
        <v>137</v>
      </c>
      <c r="D21" s="114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115" t="s">
        <v>139</v>
      </c>
      <c r="D22" s="91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90" t="s">
        <v>163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6"/>
      <c r="B29" s="6"/>
      <c r="C29" s="89"/>
      <c r="D29" s="89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87" t="s">
        <v>106</v>
      </c>
      <c r="B32" s="87"/>
      <c r="C32" s="87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84" t="s">
        <v>41</v>
      </c>
      <c r="B34" s="84"/>
      <c r="C34" s="84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88" t="s">
        <v>47</v>
      </c>
      <c r="B39" s="88"/>
      <c r="C39" s="88"/>
    </row>
    <row r="40" spans="1:4" ht="13.5" customHeight="1" x14ac:dyDescent="0.2">
      <c r="A40" s="88"/>
      <c r="B40" s="88"/>
      <c r="C40" s="88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84" t="s">
        <v>53</v>
      </c>
      <c r="B46" s="84"/>
      <c r="C46" s="84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84" t="s">
        <v>59</v>
      </c>
      <c r="B50" s="84"/>
      <c r="C50" s="84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84" t="s">
        <v>63</v>
      </c>
      <c r="B53" s="84"/>
      <c r="C53" s="84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85" t="s">
        <v>67</v>
      </c>
      <c r="B56" s="85"/>
      <c r="C56" s="85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85" t="s">
        <v>79</v>
      </c>
      <c r="B64" s="85"/>
      <c r="C64" s="85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3" t="s">
        <v>128</v>
      </c>
      <c r="B71" s="73"/>
      <c r="C71" s="73"/>
      <c r="D71" s="73"/>
      <c r="E71" s="73"/>
    </row>
    <row r="72" spans="1:8" ht="13.5" customHeight="1" x14ac:dyDescent="0.2">
      <c r="A72" s="86" t="s">
        <v>83</v>
      </c>
      <c r="B72" s="86"/>
      <c r="C72" s="86" t="s">
        <v>11</v>
      </c>
      <c r="D72" s="86"/>
      <c r="E72" s="44" t="s">
        <v>12</v>
      </c>
    </row>
    <row r="73" spans="1:8" ht="24" customHeight="1" x14ac:dyDescent="0.2">
      <c r="A73" s="60" t="s">
        <v>107</v>
      </c>
      <c r="B73" s="60"/>
      <c r="C73" s="57"/>
      <c r="D73" s="57"/>
      <c r="E73" s="47">
        <f>'April 2026 - June 2026'!E114</f>
        <v>110.69999999999982</v>
      </c>
    </row>
    <row r="74" spans="1:8" ht="39" customHeight="1" x14ac:dyDescent="0.2">
      <c r="A74" s="76" t="s">
        <v>67</v>
      </c>
      <c r="B74" s="76"/>
      <c r="C74" s="75" t="s">
        <v>121</v>
      </c>
      <c r="D74" s="75"/>
      <c r="E74" s="45">
        <v>600</v>
      </c>
    </row>
    <row r="75" spans="1:8" ht="259" customHeight="1" x14ac:dyDescent="0.2">
      <c r="A75" s="76"/>
      <c r="B75" s="76"/>
      <c r="C75" s="112" t="s">
        <v>133</v>
      </c>
      <c r="D75" s="74"/>
      <c r="E75" s="45">
        <v>1117.5</v>
      </c>
    </row>
    <row r="76" spans="1:8" ht="146" customHeight="1" x14ac:dyDescent="0.2">
      <c r="A76" s="76"/>
      <c r="B76" s="76"/>
      <c r="C76" s="112" t="s">
        <v>134</v>
      </c>
      <c r="D76" s="82"/>
      <c r="E76" s="45">
        <v>508</v>
      </c>
    </row>
    <row r="77" spans="1:8" ht="13.5" customHeight="1" x14ac:dyDescent="0.2">
      <c r="A77" s="76" t="s">
        <v>95</v>
      </c>
      <c r="B77" s="76"/>
      <c r="C77" s="77"/>
      <c r="D77" s="77"/>
      <c r="E77" s="46">
        <f>C68</f>
        <v>1171</v>
      </c>
    </row>
    <row r="78" spans="1:8" ht="13.5" customHeight="1" x14ac:dyDescent="0.2">
      <c r="C78" s="78" t="s">
        <v>96</v>
      </c>
      <c r="D78" s="78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3" t="s">
        <v>129</v>
      </c>
      <c r="B80" s="73"/>
      <c r="C80" s="73"/>
      <c r="D80" s="73"/>
      <c r="E80" s="73"/>
    </row>
    <row r="81" spans="1:5" ht="13.5" customHeight="1" x14ac:dyDescent="0.2">
      <c r="A81" s="73" t="s">
        <v>83</v>
      </c>
      <c r="B81" s="73"/>
      <c r="C81" s="73" t="s">
        <v>11</v>
      </c>
      <c r="D81" s="73"/>
      <c r="E81" s="43" t="s">
        <v>12</v>
      </c>
    </row>
    <row r="82" spans="1:5" ht="23" customHeight="1" x14ac:dyDescent="0.2">
      <c r="A82" s="60" t="s">
        <v>108</v>
      </c>
      <c r="B82" s="60"/>
      <c r="C82" s="58"/>
      <c r="D82" s="58"/>
      <c r="E82" s="47">
        <f>E78</f>
        <v>24.599999999999909</v>
      </c>
    </row>
    <row r="83" spans="1:5" ht="56" customHeight="1" x14ac:dyDescent="0.2">
      <c r="A83" s="61" t="s">
        <v>67</v>
      </c>
      <c r="B83" s="62"/>
      <c r="C83" s="109" t="s">
        <v>143</v>
      </c>
      <c r="D83" s="108"/>
      <c r="E83" s="48">
        <v>830.4</v>
      </c>
    </row>
    <row r="84" spans="1:5" ht="149" customHeight="1" x14ac:dyDescent="0.2">
      <c r="A84" s="63"/>
      <c r="B84" s="64"/>
      <c r="C84" s="75" t="s">
        <v>148</v>
      </c>
      <c r="D84" s="75"/>
      <c r="E84" s="48">
        <v>721.4</v>
      </c>
    </row>
    <row r="85" spans="1:5" ht="165" customHeight="1" x14ac:dyDescent="0.2">
      <c r="A85" s="63"/>
      <c r="B85" s="64"/>
      <c r="C85" s="70" t="s">
        <v>165</v>
      </c>
      <c r="D85" s="110"/>
      <c r="E85" s="48">
        <v>390.5</v>
      </c>
    </row>
    <row r="86" spans="1:5" ht="40" customHeight="1" x14ac:dyDescent="0.2">
      <c r="A86" s="63"/>
      <c r="B86" s="64"/>
      <c r="C86" s="109" t="s">
        <v>145</v>
      </c>
      <c r="D86" s="111"/>
      <c r="E86" s="48">
        <v>196.54</v>
      </c>
    </row>
    <row r="87" spans="1:5" ht="80" customHeight="1" x14ac:dyDescent="0.2">
      <c r="A87" s="65"/>
      <c r="B87" s="66"/>
      <c r="C87" s="70" t="s">
        <v>144</v>
      </c>
      <c r="D87" s="110"/>
      <c r="E87" s="55">
        <v>426</v>
      </c>
    </row>
    <row r="88" spans="1:5" ht="19.5" customHeight="1" x14ac:dyDescent="0.2">
      <c r="A88" s="57" t="s">
        <v>95</v>
      </c>
      <c r="B88" s="57"/>
      <c r="C88" s="58"/>
      <c r="D88" s="58"/>
      <c r="E88" s="45">
        <f>C68</f>
        <v>1171</v>
      </c>
    </row>
    <row r="89" spans="1:5" ht="13.5" customHeight="1" x14ac:dyDescent="0.2">
      <c r="C89" s="59" t="s">
        <v>96</v>
      </c>
      <c r="D89" s="59"/>
      <c r="E89" s="47">
        <f>(E24+E82)-SUM(E83:E88)</f>
        <v>436.84000000000015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72" t="s">
        <v>130</v>
      </c>
      <c r="B92" s="72"/>
      <c r="C92" s="72"/>
      <c r="D92" s="72"/>
      <c r="E92" s="72"/>
    </row>
    <row r="93" spans="1:5" ht="13.5" customHeight="1" x14ac:dyDescent="0.2">
      <c r="A93" s="73" t="s">
        <v>83</v>
      </c>
      <c r="B93" s="73"/>
      <c r="C93" s="73" t="s">
        <v>11</v>
      </c>
      <c r="D93" s="73"/>
      <c r="E93" s="43" t="s">
        <v>12</v>
      </c>
    </row>
    <row r="94" spans="1:5" ht="25" customHeight="1" x14ac:dyDescent="0.2">
      <c r="A94" s="60" t="s">
        <v>109</v>
      </c>
      <c r="B94" s="60"/>
      <c r="C94" s="58"/>
      <c r="D94" s="58"/>
      <c r="E94" s="47">
        <f>E89</f>
        <v>436.84000000000015</v>
      </c>
    </row>
    <row r="95" spans="1:5" ht="25" customHeight="1" x14ac:dyDescent="0.2">
      <c r="A95" s="61" t="s">
        <v>67</v>
      </c>
      <c r="B95" s="62"/>
      <c r="C95" s="107" t="s">
        <v>166</v>
      </c>
      <c r="D95" s="108"/>
      <c r="E95" s="45">
        <v>500</v>
      </c>
    </row>
    <row r="96" spans="1:5" ht="62" customHeight="1" x14ac:dyDescent="0.2">
      <c r="A96" s="63"/>
      <c r="B96" s="64"/>
      <c r="C96" s="105" t="s">
        <v>146</v>
      </c>
      <c r="D96" s="106"/>
      <c r="E96" s="45">
        <v>600</v>
      </c>
    </row>
    <row r="97" spans="1:5" ht="51" customHeight="1" x14ac:dyDescent="0.2">
      <c r="A97" s="63"/>
      <c r="B97" s="64"/>
      <c r="C97" s="105" t="s">
        <v>169</v>
      </c>
      <c r="D97" s="106"/>
      <c r="E97" s="45">
        <v>304</v>
      </c>
    </row>
    <row r="98" spans="1:5" ht="20" customHeight="1" x14ac:dyDescent="0.2">
      <c r="A98" s="65"/>
      <c r="B98" s="66"/>
      <c r="C98" s="105" t="s">
        <v>170</v>
      </c>
      <c r="D98" s="106"/>
      <c r="E98" s="45">
        <v>136.63999999999999</v>
      </c>
    </row>
    <row r="99" spans="1:5" ht="13.5" customHeight="1" x14ac:dyDescent="0.2">
      <c r="A99" s="57" t="s">
        <v>95</v>
      </c>
      <c r="B99" s="57"/>
      <c r="C99" s="58"/>
      <c r="D99" s="58"/>
      <c r="E99" s="45">
        <f>C68</f>
        <v>1171</v>
      </c>
    </row>
    <row r="100" spans="1:5" ht="13.5" customHeight="1" x14ac:dyDescent="0.2">
      <c r="C100" s="59" t="s">
        <v>96</v>
      </c>
      <c r="D100" s="59"/>
      <c r="E100" s="47">
        <f>(E30+E94)-SUM(E95:E99)</f>
        <v>210.20000000000027</v>
      </c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</sheetData>
  <mergeCells count="64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56:C56"/>
    <mergeCell ref="A64:C64"/>
    <mergeCell ref="A71:E71"/>
    <mergeCell ref="A72:B72"/>
    <mergeCell ref="C72:D72"/>
    <mergeCell ref="A73:B73"/>
    <mergeCell ref="C73:D73"/>
    <mergeCell ref="A74:B76"/>
    <mergeCell ref="C74:D74"/>
    <mergeCell ref="C75:D75"/>
    <mergeCell ref="C76:D76"/>
    <mergeCell ref="A77:B77"/>
    <mergeCell ref="C77:D77"/>
    <mergeCell ref="C78:D78"/>
    <mergeCell ref="A80:E80"/>
    <mergeCell ref="A81:B81"/>
    <mergeCell ref="C81:D81"/>
    <mergeCell ref="A82:B82"/>
    <mergeCell ref="C82:D82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100:D100"/>
    <mergeCell ref="A94:B94"/>
    <mergeCell ref="C94:D94"/>
    <mergeCell ref="A99:B99"/>
    <mergeCell ref="C99:D99"/>
    <mergeCell ref="C96:D96"/>
    <mergeCell ref="C97:D97"/>
    <mergeCell ref="C98:D98"/>
    <mergeCell ref="C95:D95"/>
    <mergeCell ref="A95:B98"/>
  </mergeCells>
  <conditionalFormatting sqref="C7:C8 E73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8 E82 E89 E94 E100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70" zoomScale="140" zoomScaleNormal="130" workbookViewId="0">
      <selection activeCell="F94" sqref="F94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151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154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116" t="s">
        <v>15</v>
      </c>
      <c r="D12" s="116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155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3"/>
      <c r="D19" s="114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160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153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167</v>
      </c>
      <c r="C54" s="29">
        <v>950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168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1009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1225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157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162</v>
      </c>
      <c r="B69" s="60"/>
      <c r="C69" s="57"/>
      <c r="D69" s="57"/>
      <c r="E69" s="47">
        <f>'July 2026- September 2026'!E100</f>
        <v>210.20000000000027</v>
      </c>
    </row>
    <row r="70" spans="1:5" ht="22" customHeight="1" x14ac:dyDescent="0.2">
      <c r="A70" s="76" t="s">
        <v>67</v>
      </c>
      <c r="B70" s="76"/>
      <c r="C70" s="75"/>
      <c r="D70" s="75"/>
      <c r="E70" s="45">
        <v>0</v>
      </c>
    </row>
    <row r="71" spans="1:5" ht="47" customHeight="1" x14ac:dyDescent="0.2">
      <c r="A71" s="76"/>
      <c r="B71" s="76"/>
      <c r="C71" s="112" t="s">
        <v>164</v>
      </c>
      <c r="D71" s="74"/>
      <c r="E71" s="45">
        <v>0</v>
      </c>
    </row>
    <row r="72" spans="1:5" ht="23" customHeight="1" x14ac:dyDescent="0.2">
      <c r="A72" s="76"/>
      <c r="B72" s="76"/>
      <c r="C72" s="112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1225</v>
      </c>
    </row>
    <row r="74" spans="1:5" ht="22" customHeight="1" x14ac:dyDescent="0.2">
      <c r="C74" s="78" t="s">
        <v>96</v>
      </c>
      <c r="D74" s="78"/>
      <c r="E74" s="47">
        <f>(E14+E69)-SUM(E70:E73)</f>
        <v>1470.2000000000003</v>
      </c>
    </row>
    <row r="75" spans="1:5" ht="27" customHeight="1" x14ac:dyDescent="0.2"/>
    <row r="76" spans="1:5" ht="13.5" customHeight="1" x14ac:dyDescent="0.2">
      <c r="A76" s="73" t="s">
        <v>158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150</v>
      </c>
      <c r="B78" s="60"/>
      <c r="C78" s="58"/>
      <c r="D78" s="58"/>
      <c r="E78" s="47">
        <f>E74</f>
        <v>1470.2000000000003</v>
      </c>
    </row>
    <row r="79" spans="1:5" ht="30" customHeight="1" x14ac:dyDescent="0.2">
      <c r="A79" s="61" t="s">
        <v>67</v>
      </c>
      <c r="B79" s="62"/>
      <c r="C79" s="109"/>
      <c r="D79" s="108"/>
      <c r="E79" s="48">
        <v>0</v>
      </c>
    </row>
    <row r="80" spans="1:5" ht="39" customHeight="1" x14ac:dyDescent="0.2">
      <c r="A80" s="63"/>
      <c r="B80" s="64"/>
      <c r="C80" s="75" t="s">
        <v>164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10"/>
      <c r="E81" s="48">
        <v>0</v>
      </c>
    </row>
    <row r="82" spans="1:5" ht="24" customHeight="1" x14ac:dyDescent="0.2">
      <c r="A82" s="63"/>
      <c r="B82" s="64"/>
      <c r="C82" s="109"/>
      <c r="D82" s="111"/>
      <c r="E82" s="48">
        <v>0</v>
      </c>
    </row>
    <row r="83" spans="1:5" ht="24" customHeight="1" x14ac:dyDescent="0.2">
      <c r="A83" s="65"/>
      <c r="B83" s="66"/>
      <c r="C83" s="70"/>
      <c r="D83" s="110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1225</v>
      </c>
    </row>
    <row r="85" spans="1:5" ht="13.5" customHeight="1" x14ac:dyDescent="0.2">
      <c r="C85" s="59" t="s">
        <v>96</v>
      </c>
      <c r="D85" s="59"/>
      <c r="E85" s="47">
        <f>(E20+E78)-SUM(E79:E84)</f>
        <v>2730.2000000000003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161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159</v>
      </c>
      <c r="B90" s="60"/>
      <c r="C90" s="58"/>
      <c r="D90" s="58"/>
      <c r="E90" s="47">
        <f>E85</f>
        <v>2730.2000000000003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164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1225</v>
      </c>
    </row>
    <row r="95" spans="1:5" ht="19" customHeight="1" x14ac:dyDescent="0.2">
      <c r="C95" s="59" t="s">
        <v>96</v>
      </c>
      <c r="D95" s="59"/>
      <c r="E95" s="47">
        <f>(E26+E90)-SUM(E91:E94)</f>
        <v>3990.2000000000007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2026-09-12T05:05:54Z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