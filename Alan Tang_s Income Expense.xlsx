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A84A0F10-7072-C04E-9C5D-6C22C5358B68}" xr6:coauthVersionLast="47" xr6:coauthVersionMax="47" xr10:uidLastSave="{00000000-0000-0000-0000-000000000000}"/>
  <bookViews>
    <workbookView xWindow="0" yWindow="600" windowWidth="51200" windowHeight="26400" tabRatio="500" activeTab="1" xr2:uid="{00000000-000D-0000-FFFF-FFFF00000000}"/>
  </bookViews>
  <sheets>
    <sheet name="April 2026 - June 2026" sheetId="1" r:id="rId1"/>
    <sheet name="July 2026- September 2026" sheetId="2" r:id="rId2"/>
    <sheet name="October 2026- December 2026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3" i="3" l="1"/>
  <c r="C59" i="3"/>
  <c r="C51" i="3"/>
  <c r="C48" i="3"/>
  <c r="C45" i="3"/>
  <c r="C41" i="3"/>
  <c r="C34" i="3"/>
  <c r="E26" i="3"/>
  <c r="E20" i="3"/>
  <c r="E14" i="3"/>
  <c r="C7" i="3"/>
  <c r="C6" i="3"/>
  <c r="C5" i="3"/>
  <c r="C4" i="3"/>
  <c r="C3" i="3"/>
  <c r="C3" i="2"/>
  <c r="C7" i="2"/>
  <c r="C6" i="2"/>
  <c r="C4" i="2"/>
  <c r="E114" i="1"/>
  <c r="E113" i="1"/>
  <c r="E109" i="1"/>
  <c r="E104" i="1"/>
  <c r="E103" i="1"/>
  <c r="E97" i="1"/>
  <c r="E93" i="1"/>
  <c r="E92" i="1"/>
  <c r="C76" i="1"/>
  <c r="C75" i="1"/>
  <c r="C71" i="1"/>
  <c r="C63" i="1"/>
  <c r="C60" i="1"/>
  <c r="C57" i="1"/>
  <c r="C53" i="1"/>
  <c r="C46" i="1"/>
  <c r="E38" i="1"/>
  <c r="E29" i="1"/>
  <c r="E20" i="1"/>
  <c r="C8" i="1"/>
  <c r="C8" i="2" s="1"/>
  <c r="E75" i="2"/>
  <c r="C69" i="2"/>
  <c r="C65" i="2"/>
  <c r="C57" i="2"/>
  <c r="C54" i="2"/>
  <c r="C51" i="2"/>
  <c r="C47" i="2"/>
  <c r="C40" i="2"/>
  <c r="E32" i="2"/>
  <c r="E24" i="2"/>
  <c r="E15" i="2"/>
  <c r="C5" i="2"/>
  <c r="C8" i="3" l="1"/>
  <c r="C64" i="3"/>
  <c r="E94" i="3" s="1"/>
  <c r="E84" i="3"/>
  <c r="C70" i="2"/>
  <c r="E79" i="2" s="1"/>
  <c r="E80" i="2" s="1"/>
  <c r="E84" i="2" s="1"/>
  <c r="E73" i="3" l="1"/>
  <c r="E90" i="2"/>
  <c r="E91" i="2" s="1"/>
  <c r="E96" i="2" s="1"/>
  <c r="E101" i="2"/>
  <c r="E102" i="2" l="1"/>
  <c r="E69" i="3" s="1"/>
  <c r="E74" i="3" l="1"/>
  <c r="E78" i="3" s="1"/>
  <c r="E85" i="3" s="1"/>
  <c r="E90" i="3" s="1"/>
  <c r="E95" i="3" s="1"/>
</calcChain>
</file>

<file path=xl/sharedStrings.xml><?xml version="1.0" encoding="utf-8"?>
<sst xmlns="http://schemas.openxmlformats.org/spreadsheetml/2006/main" count="422" uniqueCount="175">
  <si>
    <t>Alan Tang's Income Expense For the Forecast Year 2026 April - June 2026</t>
  </si>
  <si>
    <t>Assets</t>
  </si>
  <si>
    <t>HSBC One Saving Account</t>
  </si>
  <si>
    <t>Coins And Cash</t>
  </si>
  <si>
    <t>Bank Cheque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</si>
  <si>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</si>
  <si>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</si>
  <si>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</si>
  <si>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</si>
  <si>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</si>
  <si>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</si>
  <si>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</si>
  <si>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</si>
  <si>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</si>
  <si>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</si>
  <si>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</si>
  <si>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</si>
  <si>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</si>
  <si>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</si>
  <si>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</si>
  <si>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</si>
  <si>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</si>
  <si>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</si>
  <si>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</si>
  <si>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</si>
  <si>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</si>
  <si>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</si>
  <si>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</si>
  <si>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</si>
  <si>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</si>
  <si>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</si>
  <si>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</si>
  <si>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</si>
  <si>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</si>
  <si>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</si>
  <si>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</si>
  <si>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</si>
  <si>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</si>
  <si>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</si>
  <si>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</si>
  <si>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</si>
  <si>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</si>
  <si>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</si>
  <si>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</si>
  <si>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</si>
  <si>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</si>
  <si>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</si>
  <si>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</si>
  <si>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</si>
  <si>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</si>
  <si>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</si>
  <si>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</si>
  <si>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</si>
  <si>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</si>
  <si>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</si>
  <si>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</si>
  <si>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</si>
  <si>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</si>
  <si>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</si>
  <si>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</si>
  <si>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</si>
  <si>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</si>
  <si>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</si>
  <si>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</si>
  <si>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</si>
  <si>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</si>
  <si>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</si>
  <si>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</si>
  <si>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</si>
  <si>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</si>
  <si>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</si>
  <si>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</si>
  <si>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</si>
  <si>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</si>
  <si>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</si>
  <si>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</si>
  <si>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</si>
  <si>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</si>
  <si>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</si>
  <si>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</si>
  <si>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</si>
  <si>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</si>
  <si>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</si>
  <si>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</si>
  <si>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</si>
  <si>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</si>
  <si>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</si>
  <si>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</si>
  <si>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</si>
  <si>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</si>
  <si>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</si>
  <si>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</si>
  <si>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</si>
  <si>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</si>
  <si>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</si>
  <si>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</si>
  <si>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</si>
  <si>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</si>
  <si>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</si>
  <si>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</si>
  <si>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</si>
  <si>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Alan Tang's Income Expense For the Forecast Year 2026 July - September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</si>
  <si>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</si>
  <si>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</si>
  <si>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</si>
  <si>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</si>
  <si>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</si>
  <si>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</si>
  <si>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</si>
  <si>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</si>
  <si>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</si>
  <si>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</si>
  <si>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</si>
  <si>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</si>
  <si>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</si>
  <si>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</si>
  <si>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</si>
  <si>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</si>
  <si>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</si>
  <si>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</si>
  <si>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</si>
  <si>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</si>
  <si>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</si>
  <si>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</si>
  <si>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</si>
  <si>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</si>
  <si>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</si>
  <si>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</si>
  <si>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</si>
  <si>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</si>
  <si>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</si>
  <si>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</si>
  <si>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</si>
  <si>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</si>
  <si>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</si>
  <si>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</si>
  <si>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</si>
  <si>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</si>
  <si>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</si>
  <si>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</si>
  <si>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</si>
  <si>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</si>
  <si>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</si>
  <si>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</si>
  <si>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</si>
  <si>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</si>
  <si>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</si>
  <si>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</si>
  <si>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</si>
  <si>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Alan Tang's Income Expense For the Forecast Year 2026 October - December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</si>
  <si>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</si>
  <si>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</si>
  <si>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</si>
  <si>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</si>
  <si>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</si>
  <si>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</si>
  <si>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</si>
  <si>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</si>
  <si>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</si>
  <si>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</si>
  <si>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</si>
  <si>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</si>
  <si>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</si>
  <si>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</si>
  <si>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</si>
  <si>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~ iHerb Aveeno Lotion - $136.64</t>
  </si>
  <si>
    <t>~ Payback $250 to Lawrence</t>
  </si>
  <si>
    <t>1. Borrow $60
2. Payback Water bill through Alipay $74.1.
3. Borrow $100 ~ 16/09</t>
  </si>
  <si>
    <t>~ Payback $250 to Lawrence
~ Payback $100 to Mom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</si>
  <si>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</si>
  <si>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Partial Food And Snack Prepaid on the Previous Month
~ Food
   ~ HKTV mall 18/09 - $339.9
~ Snack And Drinks
   ~ 7 Eleven 18/09 - $12</t>
  </si>
  <si>
    <t>1. Top up $50 for Octopus 18/09
2. Top up $50 for Octopus 18/09</t>
  </si>
  <si>
    <t>~ Additional fees for cigarette (change from e-cigarette to cigarette) 18/09 - $380
~ OK Store buy additional 1 packet cigarette 18/09 - $78
~ Debit For Octopus Card ($50). 18/09
~ Debit For Octopus Card ($50). 18/09
~ OK Store buy additional 1 packet cigarette 18/09 - $78
~ OK Store buy additional 1 packet cigarette 19/09 - $78</t>
  </si>
  <si>
    <t>21st September 2026</t>
  </si>
  <si>
    <t>1. A gift for birthday $500 from Mother.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</si>
</sst>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17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5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7" fontId="6" fillId="0" borderId="1" xfId="0" applyNumberFormat="1" applyFont="1" applyBorder="1" applyAlignment="1">
      <alignment horizontal="left" vertical="center" wrapText="1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0" fontId="11" fillId="0" borderId="10" xfId="0" applyFont="1" applyBorder="1" applyAlignment="1">
      <alignment horizontal="right" vertical="center"/>
    </xf>
    <xf numFmtId="167" fontId="0" fillId="0" borderId="1" xfId="0" applyNumberFormat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0" fontId="11" fillId="0" borderId="1" xfId="0" applyFont="1" applyBorder="1" applyAlignment="1">
      <alignment horizontal="right" vertical="center"/>
    </xf>
    <xf numFmtId="0" fontId="4" fillId="6" borderId="3" xfId="0" applyFont="1" applyFill="1" applyBorder="1" applyAlignment="1">
      <alignment horizontal="center" vertical="center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left" vertical="center" wrapText="1"/>
    </xf>
    <xf numFmtId="0" fontId="14" fillId="0" borderId="9" xfId="0" applyFont="1" applyBorder="1" applyAlignment="1">
      <alignment horizontal="left" vertical="center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167" fontId="0" fillId="0" borderId="1" xfId="0" applyNumberForma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0"/>
  <sheetViews>
    <sheetView zoomScale="150" zoomScaleNormal="150" workbookViewId="0">
      <selection activeCell="C5" sqref="C5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0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v>512.20000000000005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v>15.6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SUM(C3:C7)</f>
        <v>561.40000000000009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8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15" t="s">
        <v>13</v>
      </c>
      <c r="B12" s="15" t="s">
        <v>14</v>
      </c>
      <c r="C12" s="100" t="s">
        <v>15</v>
      </c>
      <c r="D12" s="100"/>
      <c r="E12" s="16">
        <v>2485</v>
      </c>
    </row>
    <row r="13" spans="1:25" ht="29.25" customHeight="1" x14ac:dyDescent="0.2">
      <c r="A13" s="17" t="s">
        <v>13</v>
      </c>
      <c r="B13" s="17" t="s">
        <v>16</v>
      </c>
      <c r="C13" s="101" t="s">
        <v>17</v>
      </c>
      <c r="D13" s="101"/>
      <c r="E13" s="18">
        <v>12</v>
      </c>
    </row>
    <row r="14" spans="1:25" ht="29.25" customHeight="1" x14ac:dyDescent="0.2">
      <c r="A14" s="6"/>
      <c r="B14" s="6" t="s">
        <v>18</v>
      </c>
      <c r="C14" s="62" t="s">
        <v>19</v>
      </c>
      <c r="D14" s="62"/>
      <c r="E14" s="19">
        <v>900</v>
      </c>
    </row>
    <row r="15" spans="1:25" ht="29.25" customHeight="1" x14ac:dyDescent="0.2">
      <c r="A15" s="6"/>
      <c r="B15" s="6" t="s">
        <v>20</v>
      </c>
      <c r="C15" s="62" t="s">
        <v>21</v>
      </c>
      <c r="D15" s="62"/>
      <c r="E15" s="19">
        <v>1050</v>
      </c>
    </row>
    <row r="16" spans="1:25" ht="29.25" customHeight="1" x14ac:dyDescent="0.2">
      <c r="A16" s="6"/>
      <c r="B16" s="6" t="s">
        <v>22</v>
      </c>
      <c r="C16" s="62" t="s">
        <v>23</v>
      </c>
      <c r="D16" s="62"/>
      <c r="E16" s="19">
        <v>700</v>
      </c>
    </row>
    <row r="17" spans="1:25" ht="58.5" customHeight="1" x14ac:dyDescent="0.2">
      <c r="A17" s="20">
        <v>46138</v>
      </c>
      <c r="B17" s="6" t="s">
        <v>24</v>
      </c>
      <c r="C17" s="102" t="s">
        <v>25</v>
      </c>
      <c r="D17" s="102"/>
      <c r="E17" s="21">
        <v>187.6</v>
      </c>
    </row>
    <row r="18" spans="1:25" ht="29.25" customHeight="1" x14ac:dyDescent="0.2">
      <c r="A18" s="22"/>
      <c r="B18" s="6" t="s">
        <v>16</v>
      </c>
      <c r="C18" s="103" t="s">
        <v>26</v>
      </c>
      <c r="D18" s="103"/>
      <c r="E18" s="19">
        <v>118</v>
      </c>
    </row>
    <row r="19" spans="1:25" ht="29.25" customHeight="1" x14ac:dyDescent="0.2">
      <c r="A19" s="23" t="s">
        <v>27</v>
      </c>
      <c r="B19" s="53" t="s">
        <v>28</v>
      </c>
      <c r="C19" s="104" t="s">
        <v>29</v>
      </c>
      <c r="D19" s="104"/>
      <c r="E19" s="21">
        <v>50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SUM(E12:E19)</f>
        <v>5502.6</v>
      </c>
    </row>
    <row r="21" spans="1:25" ht="13.5" customHeight="1" x14ac:dyDescent="0.2">
      <c r="B21" s="24"/>
    </row>
    <row r="22" spans="1:25" ht="13.5" customHeight="1" x14ac:dyDescent="0.2">
      <c r="A22" s="63" t="s">
        <v>31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27" t="s">
        <v>9</v>
      </c>
      <c r="B23" s="28" t="s">
        <v>10</v>
      </c>
      <c r="C23" s="105" t="s">
        <v>11</v>
      </c>
      <c r="D23" s="105"/>
      <c r="E23" s="3" t="s">
        <v>12</v>
      </c>
    </row>
    <row r="24" spans="1:25" ht="13.5" customHeight="1" x14ac:dyDescent="0.2">
      <c r="A24" s="6" t="s">
        <v>32</v>
      </c>
      <c r="B24" s="6" t="s">
        <v>14</v>
      </c>
      <c r="C24" s="62" t="s">
        <v>15</v>
      </c>
      <c r="D24" s="62"/>
      <c r="E24" s="29">
        <v>2485</v>
      </c>
    </row>
    <row r="25" spans="1:25" ht="13.5" customHeight="1" x14ac:dyDescent="0.2">
      <c r="A25" s="30" t="s">
        <v>33</v>
      </c>
      <c r="B25" s="6" t="s">
        <v>14</v>
      </c>
      <c r="C25" s="62" t="s">
        <v>34</v>
      </c>
      <c r="D25" s="62"/>
      <c r="E25" s="19">
        <v>2140</v>
      </c>
    </row>
    <row r="26" spans="1:25" ht="60.75" customHeight="1" x14ac:dyDescent="0.2">
      <c r="A26" s="30"/>
      <c r="B26" s="6" t="s">
        <v>24</v>
      </c>
      <c r="C26" s="61" t="s">
        <v>114</v>
      </c>
      <c r="D26" s="102"/>
      <c r="E26" s="19">
        <v>227.3</v>
      </c>
    </row>
    <row r="27" spans="1:25" ht="13.5" customHeight="1" x14ac:dyDescent="0.2">
      <c r="A27" s="30" t="s">
        <v>32</v>
      </c>
      <c r="B27" s="6" t="s">
        <v>18</v>
      </c>
      <c r="C27" s="103" t="s">
        <v>35</v>
      </c>
      <c r="D27" s="103"/>
      <c r="E27" s="19">
        <v>205</v>
      </c>
    </row>
    <row r="28" spans="1:25" ht="60.75" customHeight="1" x14ac:dyDescent="0.2">
      <c r="A28" s="30"/>
      <c r="B28" s="6" t="s">
        <v>28</v>
      </c>
      <c r="C28" s="106" t="s">
        <v>36</v>
      </c>
      <c r="D28" s="106"/>
      <c r="E28" s="19">
        <v>150</v>
      </c>
    </row>
    <row r="29" spans="1:25" ht="13.5" customHeight="1" x14ac:dyDescent="0.2">
      <c r="A29" s="24"/>
      <c r="B29" s="24"/>
      <c r="C29" s="5"/>
      <c r="D29" s="25" t="s">
        <v>30</v>
      </c>
      <c r="E29" s="26">
        <f>SUM(E24:E28)</f>
        <v>5207.3</v>
      </c>
    </row>
    <row r="30" spans="1:25" ht="13.5" customHeight="1" x14ac:dyDescent="0.2">
      <c r="A30" s="24"/>
      <c r="B30" s="24"/>
    </row>
    <row r="31" spans="1:25" ht="13.5" customHeight="1" x14ac:dyDescent="0.2">
      <c r="A31" s="63" t="s">
        <v>37</v>
      </c>
      <c r="B31" s="63"/>
      <c r="C31" s="63"/>
      <c r="D31" s="63"/>
      <c r="E31" s="63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</row>
    <row r="32" spans="1:25" ht="13.5" customHeight="1" x14ac:dyDescent="0.2">
      <c r="A32" s="31" t="s">
        <v>9</v>
      </c>
      <c r="B32" s="32" t="s">
        <v>10</v>
      </c>
      <c r="C32" s="64" t="s">
        <v>11</v>
      </c>
      <c r="D32" s="64"/>
      <c r="E32" s="2" t="s">
        <v>12</v>
      </c>
    </row>
    <row r="33" spans="1:5" ht="13.5" customHeight="1" x14ac:dyDescent="0.2">
      <c r="A33" s="6" t="s">
        <v>38</v>
      </c>
      <c r="B33" s="6" t="s">
        <v>14</v>
      </c>
      <c r="C33" s="62" t="s">
        <v>15</v>
      </c>
      <c r="D33" s="62"/>
      <c r="E33" s="33">
        <v>2485</v>
      </c>
    </row>
    <row r="34" spans="1:5" ht="13.5" customHeight="1" x14ac:dyDescent="0.2">
      <c r="A34" s="30"/>
      <c r="B34" s="6" t="s">
        <v>16</v>
      </c>
      <c r="C34" s="62" t="s">
        <v>39</v>
      </c>
      <c r="D34" s="62"/>
      <c r="E34" s="33">
        <v>118</v>
      </c>
    </row>
    <row r="35" spans="1:5" ht="46.5" customHeight="1" x14ac:dyDescent="0.2">
      <c r="A35" s="30"/>
      <c r="B35" s="50" t="s">
        <v>24</v>
      </c>
      <c r="C35" s="67" t="s">
        <v>118</v>
      </c>
      <c r="D35" s="68"/>
      <c r="E35" s="33">
        <v>170</v>
      </c>
    </row>
    <row r="36" spans="1:5" ht="42.75" customHeight="1" x14ac:dyDescent="0.2">
      <c r="A36" s="30"/>
      <c r="B36" s="50" t="s">
        <v>80</v>
      </c>
      <c r="C36" s="67" t="s">
        <v>115</v>
      </c>
      <c r="D36" s="107"/>
      <c r="E36" s="33">
        <v>800</v>
      </c>
    </row>
    <row r="37" spans="1:5" ht="33.75" customHeight="1" x14ac:dyDescent="0.2">
      <c r="A37" s="6"/>
      <c r="B37" s="50" t="s">
        <v>28</v>
      </c>
      <c r="C37" s="61" t="s">
        <v>119</v>
      </c>
      <c r="D37" s="62"/>
      <c r="E37" s="19">
        <v>200</v>
      </c>
    </row>
    <row r="38" spans="1:5" ht="13.5" customHeight="1" x14ac:dyDescent="0.2">
      <c r="A38" s="24"/>
      <c r="B38" s="24"/>
      <c r="C38" s="5"/>
      <c r="D38" s="34" t="s">
        <v>30</v>
      </c>
      <c r="E38" s="35">
        <f>SUM(E33:E37)</f>
        <v>3773</v>
      </c>
    </row>
    <row r="39" spans="1:5" ht="13.5" customHeight="1" x14ac:dyDescent="0.2">
      <c r="A39" s="24"/>
      <c r="B39" s="24"/>
    </row>
    <row r="40" spans="1:5" ht="16" x14ac:dyDescent="0.2">
      <c r="A40" s="69" t="s">
        <v>40</v>
      </c>
      <c r="B40" s="69"/>
      <c r="C40" s="69"/>
    </row>
    <row r="41" spans="1:5" ht="17" x14ac:dyDescent="0.2">
      <c r="A41" s="1" t="s">
        <v>10</v>
      </c>
      <c r="B41" s="1" t="s">
        <v>11</v>
      </c>
      <c r="C41" s="36" t="s">
        <v>12</v>
      </c>
      <c r="D41" s="37"/>
    </row>
    <row r="42" spans="1:5" ht="13.5" customHeight="1" x14ac:dyDescent="0.2">
      <c r="A42" s="70" t="s">
        <v>41</v>
      </c>
      <c r="B42" s="70"/>
      <c r="C42" s="70"/>
    </row>
    <row r="43" spans="1:5" ht="13.5" customHeight="1" x14ac:dyDescent="0.2">
      <c r="A43" s="50" t="s">
        <v>17</v>
      </c>
      <c r="B43" s="50" t="s">
        <v>112</v>
      </c>
      <c r="C43" s="33">
        <v>78</v>
      </c>
    </row>
    <row r="44" spans="1:5" ht="13.5" customHeight="1" x14ac:dyDescent="0.2">
      <c r="A44" s="17" t="s">
        <v>42</v>
      </c>
      <c r="B44" s="17" t="s">
        <v>43</v>
      </c>
      <c r="C44" s="38">
        <v>118</v>
      </c>
    </row>
    <row r="45" spans="1:5" ht="13.5" customHeight="1" x14ac:dyDescent="0.2">
      <c r="A45" s="17" t="s">
        <v>44</v>
      </c>
      <c r="B45" s="17" t="s">
        <v>45</v>
      </c>
      <c r="C45" s="38">
        <v>138</v>
      </c>
    </row>
    <row r="46" spans="1:5" ht="13.5" customHeight="1" x14ac:dyDescent="0.2">
      <c r="A46" s="7"/>
      <c r="B46" s="6" t="s">
        <v>46</v>
      </c>
      <c r="C46" s="39">
        <f>SUM(C43:C45)</f>
        <v>334</v>
      </c>
    </row>
    <row r="47" spans="1:5" ht="13.5" customHeight="1" x14ac:dyDescent="0.2">
      <c r="A47" s="71" t="s">
        <v>47</v>
      </c>
      <c r="B47" s="71"/>
      <c r="C47" s="71"/>
    </row>
    <row r="48" spans="1:5" ht="13.5" customHeight="1" x14ac:dyDescent="0.2">
      <c r="A48" s="71"/>
      <c r="B48" s="71"/>
      <c r="C48" s="71"/>
    </row>
    <row r="49" spans="1:3" ht="13.5" customHeight="1" x14ac:dyDescent="0.2">
      <c r="A49" s="6" t="s">
        <v>48</v>
      </c>
      <c r="B49" s="6"/>
      <c r="C49" s="29">
        <v>0</v>
      </c>
    </row>
    <row r="50" spans="1:3" ht="13.5" customHeight="1" x14ac:dyDescent="0.2">
      <c r="A50" s="6" t="s">
        <v>49</v>
      </c>
      <c r="B50" s="6"/>
      <c r="C50" s="19">
        <v>0</v>
      </c>
    </row>
    <row r="51" spans="1:3" ht="13.5" customHeight="1" x14ac:dyDescent="0.2">
      <c r="A51" s="6" t="s">
        <v>50</v>
      </c>
      <c r="B51" s="6"/>
      <c r="C51" s="19">
        <v>0</v>
      </c>
    </row>
    <row r="52" spans="1:3" ht="13.5" customHeight="1" x14ac:dyDescent="0.2">
      <c r="A52" s="6" t="s">
        <v>51</v>
      </c>
      <c r="B52" s="6"/>
      <c r="C52" s="19">
        <v>0</v>
      </c>
    </row>
    <row r="53" spans="1:3" ht="13.5" customHeight="1" x14ac:dyDescent="0.2">
      <c r="A53" s="6"/>
      <c r="B53" s="6" t="s">
        <v>52</v>
      </c>
      <c r="C53" s="39">
        <f>SUM(C49:C52)</f>
        <v>0</v>
      </c>
    </row>
    <row r="54" spans="1:3" ht="13.5" customHeight="1" x14ac:dyDescent="0.2">
      <c r="A54" s="70" t="s">
        <v>53</v>
      </c>
      <c r="B54" s="70"/>
      <c r="C54" s="70"/>
    </row>
    <row r="55" spans="1:3" ht="13.5" customHeight="1" x14ac:dyDescent="0.2">
      <c r="A55" s="6" t="s">
        <v>54</v>
      </c>
      <c r="B55" s="6" t="s">
        <v>55</v>
      </c>
      <c r="C55" s="33">
        <v>0</v>
      </c>
    </row>
    <row r="56" spans="1:3" ht="13.5" customHeight="1" x14ac:dyDescent="0.2">
      <c r="A56" s="6" t="s">
        <v>56</v>
      </c>
      <c r="B56" s="6" t="s">
        <v>57</v>
      </c>
      <c r="C56" s="33">
        <v>0</v>
      </c>
    </row>
    <row r="57" spans="1:3" ht="13.5" customHeight="1" x14ac:dyDescent="0.2">
      <c r="A57" s="6"/>
      <c r="B57" s="6" t="s">
        <v>58</v>
      </c>
      <c r="C57" s="39">
        <f>SUM(C55:C56)</f>
        <v>0</v>
      </c>
    </row>
    <row r="58" spans="1:3" ht="13.5" customHeight="1" x14ac:dyDescent="0.2">
      <c r="A58" s="70" t="s">
        <v>59</v>
      </c>
      <c r="B58" s="70"/>
      <c r="C58" s="70"/>
    </row>
    <row r="59" spans="1:3" ht="13.5" customHeight="1" x14ac:dyDescent="0.2">
      <c r="A59" s="6" t="s">
        <v>60</v>
      </c>
      <c r="B59" s="6" t="s">
        <v>61</v>
      </c>
      <c r="C59" s="29">
        <v>0</v>
      </c>
    </row>
    <row r="60" spans="1:3" ht="13.5" customHeight="1" x14ac:dyDescent="0.2">
      <c r="A60" s="17"/>
      <c r="B60" s="17" t="s">
        <v>62</v>
      </c>
      <c r="C60" s="39">
        <f>SUM(C59)</f>
        <v>0</v>
      </c>
    </row>
    <row r="61" spans="1:3" ht="13.5" customHeight="1" x14ac:dyDescent="0.2">
      <c r="A61" s="70" t="s">
        <v>63</v>
      </c>
      <c r="B61" s="70"/>
      <c r="C61" s="70"/>
    </row>
    <row r="62" spans="1:3" ht="13.5" customHeight="1" x14ac:dyDescent="0.2">
      <c r="A62" s="6" t="s">
        <v>64</v>
      </c>
      <c r="B62" s="6" t="s">
        <v>65</v>
      </c>
      <c r="C62" s="29">
        <v>0</v>
      </c>
    </row>
    <row r="63" spans="1:3" ht="13.5" customHeight="1" x14ac:dyDescent="0.2">
      <c r="A63" s="6"/>
      <c r="B63" s="6" t="s">
        <v>66</v>
      </c>
      <c r="C63" s="39">
        <f>SUM(C62)</f>
        <v>0</v>
      </c>
    </row>
    <row r="64" spans="1:3" ht="13.5" customHeight="1" x14ac:dyDescent="0.2">
      <c r="A64" s="72" t="s">
        <v>67</v>
      </c>
      <c r="B64" s="72"/>
      <c r="C64" s="72"/>
    </row>
    <row r="65" spans="1:8" ht="13.5" customHeight="1" x14ac:dyDescent="0.2">
      <c r="A65" s="17" t="s">
        <v>68</v>
      </c>
      <c r="B65" s="5" t="s">
        <v>69</v>
      </c>
      <c r="C65" s="40">
        <v>0</v>
      </c>
    </row>
    <row r="66" spans="1:8" ht="13.5" customHeight="1" x14ac:dyDescent="0.2">
      <c r="A66" s="6" t="s">
        <v>70</v>
      </c>
      <c r="B66" s="6" t="s">
        <v>18</v>
      </c>
      <c r="C66" s="29">
        <v>900</v>
      </c>
    </row>
    <row r="67" spans="1:8" ht="32" x14ac:dyDescent="0.2">
      <c r="A67" s="6" t="s">
        <v>71</v>
      </c>
      <c r="B67" s="6" t="s">
        <v>72</v>
      </c>
      <c r="C67" s="29">
        <v>0</v>
      </c>
    </row>
    <row r="68" spans="1:8" ht="13.5" customHeight="1" x14ac:dyDescent="0.2">
      <c r="A68" s="6" t="s">
        <v>73</v>
      </c>
      <c r="B68" s="6" t="s">
        <v>74</v>
      </c>
      <c r="C68" s="29">
        <v>78</v>
      </c>
    </row>
    <row r="69" spans="1:8" ht="13.5" customHeight="1" x14ac:dyDescent="0.2">
      <c r="A69" s="6" t="s">
        <v>75</v>
      </c>
      <c r="B69" s="6"/>
      <c r="C69" s="29">
        <v>55</v>
      </c>
    </row>
    <row r="70" spans="1:8" ht="13.5" customHeight="1" x14ac:dyDescent="0.2">
      <c r="A70" s="7" t="s">
        <v>76</v>
      </c>
      <c r="B70" s="7" t="s">
        <v>77</v>
      </c>
      <c r="C70" s="19">
        <v>0</v>
      </c>
    </row>
    <row r="71" spans="1:8" ht="13.5" customHeight="1" x14ac:dyDescent="0.2">
      <c r="A71" s="7"/>
      <c r="B71" s="7" t="s">
        <v>78</v>
      </c>
      <c r="C71" s="39">
        <f>SUM(C65:C70)</f>
        <v>1033</v>
      </c>
    </row>
    <row r="72" spans="1:8" ht="13.5" customHeight="1" x14ac:dyDescent="0.2">
      <c r="A72" s="72" t="s">
        <v>79</v>
      </c>
      <c r="B72" s="72"/>
      <c r="C72" s="72"/>
    </row>
    <row r="73" spans="1:8" ht="13.5" customHeight="1" x14ac:dyDescent="0.2">
      <c r="A73" s="7" t="s">
        <v>24</v>
      </c>
      <c r="B73" s="7"/>
      <c r="C73" s="19">
        <v>100</v>
      </c>
    </row>
    <row r="74" spans="1:8" ht="13.5" customHeight="1" x14ac:dyDescent="0.2">
      <c r="A74" s="7" t="s">
        <v>80</v>
      </c>
      <c r="B74" s="7"/>
      <c r="C74" s="19">
        <v>500</v>
      </c>
    </row>
    <row r="75" spans="1:8" ht="13.5" customHeight="1" x14ac:dyDescent="0.2">
      <c r="A75" s="7"/>
      <c r="B75" s="7" t="s">
        <v>81</v>
      </c>
      <c r="C75" s="19">
        <f>SUM(C73:C74)</f>
        <v>600</v>
      </c>
    </row>
    <row r="76" spans="1:8" ht="13.5" customHeight="1" x14ac:dyDescent="0.2">
      <c r="A76" s="6"/>
      <c r="B76" s="34" t="s">
        <v>82</v>
      </c>
      <c r="C76" s="41">
        <f>C46+C53+C57+C60+C63+C71</f>
        <v>1367</v>
      </c>
      <c r="H76" s="42"/>
    </row>
    <row r="77" spans="1:8" ht="13.5" customHeight="1" x14ac:dyDescent="0.2">
      <c r="A77" s="24"/>
      <c r="B77" s="24"/>
    </row>
    <row r="78" spans="1:8" ht="13.5" customHeight="1" x14ac:dyDescent="0.2">
      <c r="A78" s="24"/>
      <c r="B78" s="24"/>
    </row>
    <row r="79" spans="1:8" ht="13.5" customHeight="1" x14ac:dyDescent="0.2">
      <c r="A79" s="73" t="s">
        <v>125</v>
      </c>
      <c r="B79" s="73"/>
      <c r="C79" s="73"/>
      <c r="D79" s="73"/>
      <c r="E79" s="73"/>
    </row>
    <row r="80" spans="1:8" ht="13.5" customHeight="1" x14ac:dyDescent="0.2">
      <c r="A80" s="74" t="s">
        <v>83</v>
      </c>
      <c r="B80" s="74"/>
      <c r="C80" s="74" t="s">
        <v>11</v>
      </c>
      <c r="D80" s="74"/>
      <c r="E80" s="44" t="s">
        <v>12</v>
      </c>
    </row>
    <row r="81" spans="1:5" ht="24" customHeight="1" x14ac:dyDescent="0.2">
      <c r="A81" s="108" t="s">
        <v>84</v>
      </c>
      <c r="B81" s="108"/>
      <c r="C81" s="76"/>
      <c r="D81" s="76"/>
      <c r="E81" s="7">
        <v>21.98</v>
      </c>
    </row>
    <row r="82" spans="1:5" x14ac:dyDescent="0.2">
      <c r="A82" s="76" t="s">
        <v>67</v>
      </c>
      <c r="B82" s="76"/>
      <c r="C82" s="109" t="s">
        <v>85</v>
      </c>
      <c r="D82" s="109"/>
      <c r="E82" s="45">
        <v>168</v>
      </c>
    </row>
    <row r="83" spans="1:5" ht="220.5" customHeight="1" x14ac:dyDescent="0.2">
      <c r="A83" s="76"/>
      <c r="B83" s="76"/>
      <c r="C83" s="109" t="s">
        <v>86</v>
      </c>
      <c r="D83" s="109"/>
      <c r="E83" s="45">
        <v>507.7</v>
      </c>
    </row>
    <row r="84" spans="1:5" x14ac:dyDescent="0.2">
      <c r="A84" s="76"/>
      <c r="B84" s="76"/>
      <c r="C84" s="109" t="s">
        <v>87</v>
      </c>
      <c r="D84" s="109"/>
      <c r="E84" s="45">
        <v>1728</v>
      </c>
    </row>
    <row r="85" spans="1:5" ht="17.25" customHeight="1" x14ac:dyDescent="0.2">
      <c r="A85" s="76"/>
      <c r="B85" s="76"/>
      <c r="C85" s="110" t="s">
        <v>88</v>
      </c>
      <c r="D85" s="110"/>
      <c r="E85" s="45">
        <v>50</v>
      </c>
    </row>
    <row r="86" spans="1:5" ht="17.25" customHeight="1" x14ac:dyDescent="0.2">
      <c r="A86" s="76"/>
      <c r="B86" s="76"/>
      <c r="C86" s="81" t="s">
        <v>89</v>
      </c>
      <c r="D86" s="81"/>
      <c r="E86" s="45">
        <v>418</v>
      </c>
    </row>
    <row r="87" spans="1:5" ht="17.25" customHeight="1" x14ac:dyDescent="0.2">
      <c r="A87" s="76"/>
      <c r="B87" s="76"/>
      <c r="C87" s="110" t="s">
        <v>90</v>
      </c>
      <c r="D87" s="110"/>
      <c r="E87" s="45">
        <v>697</v>
      </c>
    </row>
    <row r="88" spans="1:5" ht="42" customHeight="1" x14ac:dyDescent="0.2">
      <c r="A88" s="76"/>
      <c r="B88" s="76"/>
      <c r="C88" s="109" t="s">
        <v>91</v>
      </c>
      <c r="D88" s="109"/>
      <c r="E88" s="45">
        <v>5.4</v>
      </c>
    </row>
    <row r="89" spans="1:5" ht="17.25" customHeight="1" x14ac:dyDescent="0.2">
      <c r="A89" s="76"/>
      <c r="B89" s="76"/>
      <c r="C89" s="81" t="s">
        <v>92</v>
      </c>
      <c r="D89" s="81"/>
      <c r="E89" s="45">
        <v>136</v>
      </c>
    </row>
    <row r="90" spans="1:5" ht="17.25" customHeight="1" x14ac:dyDescent="0.2">
      <c r="A90" s="76"/>
      <c r="B90" s="76"/>
      <c r="C90" s="81" t="s">
        <v>93</v>
      </c>
      <c r="D90" s="81"/>
      <c r="E90" s="45">
        <v>112.3</v>
      </c>
    </row>
    <row r="91" spans="1:5" ht="17.25" customHeight="1" x14ac:dyDescent="0.2">
      <c r="A91" s="76"/>
      <c r="B91" s="76"/>
      <c r="C91" s="111" t="s">
        <v>94</v>
      </c>
      <c r="D91" s="111"/>
      <c r="E91" s="45">
        <v>366.38</v>
      </c>
    </row>
    <row r="92" spans="1:5" ht="13.5" customHeight="1" x14ac:dyDescent="0.2">
      <c r="A92" s="77" t="s">
        <v>95</v>
      </c>
      <c r="B92" s="77"/>
      <c r="C92" s="82"/>
      <c r="D92" s="82"/>
      <c r="E92" s="46">
        <f>C76</f>
        <v>1367</v>
      </c>
    </row>
    <row r="93" spans="1:5" ht="13.5" customHeight="1" x14ac:dyDescent="0.2">
      <c r="C93" s="83" t="s">
        <v>96</v>
      </c>
      <c r="D93" s="83"/>
      <c r="E93" s="47">
        <f>(E20+E81)-SUM(E82:E92)</f>
        <v>-31.199999999999818</v>
      </c>
    </row>
    <row r="94" spans="1:5" ht="13.5" customHeight="1" x14ac:dyDescent="0.2"/>
    <row r="95" spans="1:5" ht="13.5" customHeight="1" x14ac:dyDescent="0.2">
      <c r="A95" s="73" t="s">
        <v>126</v>
      </c>
      <c r="B95" s="73"/>
      <c r="C95" s="73"/>
      <c r="D95" s="73"/>
      <c r="E95" s="73"/>
    </row>
    <row r="96" spans="1:5" ht="13.5" customHeight="1" x14ac:dyDescent="0.2">
      <c r="A96" s="73" t="s">
        <v>83</v>
      </c>
      <c r="B96" s="73"/>
      <c r="C96" s="73" t="s">
        <v>11</v>
      </c>
      <c r="D96" s="73"/>
      <c r="E96" s="43" t="s">
        <v>12</v>
      </c>
    </row>
    <row r="97" spans="1:5" ht="13.5" customHeight="1" x14ac:dyDescent="0.2">
      <c r="A97" s="75" t="s">
        <v>97</v>
      </c>
      <c r="B97" s="75"/>
      <c r="C97" s="84"/>
      <c r="D97" s="84"/>
      <c r="E97" s="47">
        <f>E93</f>
        <v>-31.199999999999818</v>
      </c>
    </row>
    <row r="98" spans="1:5" ht="45.75" customHeight="1" x14ac:dyDescent="0.2">
      <c r="A98" s="76" t="s">
        <v>67</v>
      </c>
      <c r="B98" s="76"/>
      <c r="C98" s="80" t="s">
        <v>98</v>
      </c>
      <c r="D98" s="80"/>
      <c r="E98" s="48">
        <v>747.6</v>
      </c>
    </row>
    <row r="99" spans="1:5" ht="409" customHeight="1" x14ac:dyDescent="0.2">
      <c r="A99" s="76"/>
      <c r="B99" s="76"/>
      <c r="C99" s="78" t="s">
        <v>113</v>
      </c>
      <c r="D99" s="78"/>
      <c r="E99" s="48">
        <v>900.2</v>
      </c>
    </row>
    <row r="100" spans="1:5" ht="73.5" customHeight="1" x14ac:dyDescent="0.2">
      <c r="A100" s="76"/>
      <c r="B100" s="76"/>
      <c r="C100" s="78" t="s">
        <v>111</v>
      </c>
      <c r="D100" s="78"/>
      <c r="E100" s="48">
        <v>656.4</v>
      </c>
    </row>
    <row r="101" spans="1:5" ht="118.5" customHeight="1" x14ac:dyDescent="0.2">
      <c r="A101" s="76"/>
      <c r="B101" s="76"/>
      <c r="C101" s="78" t="s">
        <v>110</v>
      </c>
      <c r="D101" s="78"/>
      <c r="E101" s="48">
        <v>167.4</v>
      </c>
    </row>
    <row r="102" spans="1:5" ht="129.75" customHeight="1" x14ac:dyDescent="0.2">
      <c r="A102" s="76"/>
      <c r="B102" s="76"/>
      <c r="C102" s="89" t="s">
        <v>99</v>
      </c>
      <c r="D102" s="112"/>
      <c r="E102" s="48">
        <v>1109</v>
      </c>
    </row>
    <row r="103" spans="1:5" ht="13.5" customHeight="1" x14ac:dyDescent="0.2">
      <c r="A103" s="76" t="s">
        <v>95</v>
      </c>
      <c r="B103" s="76"/>
      <c r="C103" s="84"/>
      <c r="D103" s="84"/>
      <c r="E103" s="45">
        <f>C76</f>
        <v>1367</v>
      </c>
    </row>
    <row r="104" spans="1:5" ht="13.5" customHeight="1" x14ac:dyDescent="0.2">
      <c r="C104" s="87" t="s">
        <v>96</v>
      </c>
      <c r="D104" s="87"/>
      <c r="E104" s="47">
        <f>(E29+E97)-SUM(E98:E103)</f>
        <v>228.5</v>
      </c>
    </row>
    <row r="105" spans="1:5" ht="13.5" customHeight="1" x14ac:dyDescent="0.2">
      <c r="A105" s="49"/>
      <c r="B105" s="49"/>
      <c r="C105" s="49"/>
      <c r="D105" s="49"/>
      <c r="E105" s="49"/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88" t="s">
        <v>127</v>
      </c>
      <c r="B107" s="88"/>
      <c r="C107" s="88"/>
      <c r="D107" s="88"/>
      <c r="E107" s="88"/>
    </row>
    <row r="108" spans="1:5" ht="13.5" customHeight="1" x14ac:dyDescent="0.2">
      <c r="A108" s="73" t="s">
        <v>83</v>
      </c>
      <c r="B108" s="73"/>
      <c r="C108" s="73" t="s">
        <v>11</v>
      </c>
      <c r="D108" s="73"/>
      <c r="E108" s="43" t="s">
        <v>12</v>
      </c>
    </row>
    <row r="109" spans="1:5" ht="13.5" customHeight="1" x14ac:dyDescent="0.2">
      <c r="A109" s="75" t="s">
        <v>100</v>
      </c>
      <c r="B109" s="75"/>
      <c r="C109" s="84"/>
      <c r="D109" s="84"/>
      <c r="E109" s="47">
        <f>E104</f>
        <v>228.5</v>
      </c>
    </row>
    <row r="110" spans="1:5" ht="333" customHeight="1" x14ac:dyDescent="0.2">
      <c r="A110" s="92" t="s">
        <v>67</v>
      </c>
      <c r="B110" s="93"/>
      <c r="C110" s="106" t="s">
        <v>117</v>
      </c>
      <c r="D110" s="106"/>
      <c r="E110" s="45">
        <v>870.3</v>
      </c>
    </row>
    <row r="111" spans="1:5" ht="152" customHeight="1" x14ac:dyDescent="0.2">
      <c r="A111" s="94"/>
      <c r="B111" s="95"/>
      <c r="C111" s="113" t="s">
        <v>116</v>
      </c>
      <c r="D111" s="114"/>
      <c r="E111" s="45">
        <v>1428</v>
      </c>
    </row>
    <row r="112" spans="1:5" ht="151" customHeight="1" x14ac:dyDescent="0.2">
      <c r="A112" s="96"/>
      <c r="B112" s="97"/>
      <c r="C112" s="89" t="s">
        <v>120</v>
      </c>
      <c r="D112" s="112"/>
      <c r="E112" s="45">
        <v>225.5</v>
      </c>
    </row>
    <row r="113" spans="1:5" ht="13.5" customHeight="1" x14ac:dyDescent="0.2">
      <c r="A113" s="76" t="s">
        <v>95</v>
      </c>
      <c r="B113" s="76"/>
      <c r="C113" s="84"/>
      <c r="D113" s="84"/>
      <c r="E113" s="45">
        <f>C76</f>
        <v>1367</v>
      </c>
    </row>
    <row r="114" spans="1:5" ht="13.5" customHeight="1" x14ac:dyDescent="0.2">
      <c r="C114" s="87" t="s">
        <v>96</v>
      </c>
      <c r="D114" s="87"/>
      <c r="E114" s="47">
        <f>(E38+E109)-SUM(E110:E113)</f>
        <v>110.69999999999982</v>
      </c>
    </row>
    <row r="115" spans="1:5" ht="13.5" customHeight="1" x14ac:dyDescent="0.2">
      <c r="A115" s="24"/>
      <c r="B115" s="24"/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</sheetData>
  <mergeCells count="78">
    <mergeCell ref="A113:B113"/>
    <mergeCell ref="C113:D113"/>
    <mergeCell ref="C114:D114"/>
    <mergeCell ref="A109:B109"/>
    <mergeCell ref="C109:D109"/>
    <mergeCell ref="A110:B112"/>
    <mergeCell ref="C110:D110"/>
    <mergeCell ref="C111:D111"/>
    <mergeCell ref="C112:D112"/>
    <mergeCell ref="A103:B103"/>
    <mergeCell ref="C103:D103"/>
    <mergeCell ref="C104:D104"/>
    <mergeCell ref="A107:E107"/>
    <mergeCell ref="A108:B108"/>
    <mergeCell ref="C108:D108"/>
    <mergeCell ref="A97:B97"/>
    <mergeCell ref="C97:D97"/>
    <mergeCell ref="A98:B102"/>
    <mergeCell ref="C98:D98"/>
    <mergeCell ref="C99:D99"/>
    <mergeCell ref="C100:D100"/>
    <mergeCell ref="C101:D101"/>
    <mergeCell ref="C102:D102"/>
    <mergeCell ref="A92:B92"/>
    <mergeCell ref="C92:D92"/>
    <mergeCell ref="C93:D93"/>
    <mergeCell ref="A95:E95"/>
    <mergeCell ref="A96:B96"/>
    <mergeCell ref="C96:D96"/>
    <mergeCell ref="A81:B81"/>
    <mergeCell ref="C81:D81"/>
    <mergeCell ref="A82:B91"/>
    <mergeCell ref="C82:D8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A61:C61"/>
    <mergeCell ref="A64:C64"/>
    <mergeCell ref="A72:C72"/>
    <mergeCell ref="A79:E79"/>
    <mergeCell ref="A80:B80"/>
    <mergeCell ref="C80:D80"/>
    <mergeCell ref="A40:C40"/>
    <mergeCell ref="A42:C42"/>
    <mergeCell ref="A47:C48"/>
    <mergeCell ref="A54:C54"/>
    <mergeCell ref="A58:C58"/>
    <mergeCell ref="C33:D33"/>
    <mergeCell ref="C34:D34"/>
    <mergeCell ref="C35:D35"/>
    <mergeCell ref="C36:D36"/>
    <mergeCell ref="C37:D37"/>
    <mergeCell ref="C26:D26"/>
    <mergeCell ref="C27:D27"/>
    <mergeCell ref="C28:D28"/>
    <mergeCell ref="A31:E31"/>
    <mergeCell ref="C32:D32"/>
    <mergeCell ref="C19:D19"/>
    <mergeCell ref="A22:E22"/>
    <mergeCell ref="C23:D23"/>
    <mergeCell ref="C24:D24"/>
    <mergeCell ref="C25:D25"/>
    <mergeCell ref="C14:D14"/>
    <mergeCell ref="C15:D15"/>
    <mergeCell ref="C16:D16"/>
    <mergeCell ref="C17:D17"/>
    <mergeCell ref="C18:D18"/>
    <mergeCell ref="A1:E1"/>
    <mergeCell ref="A10:E10"/>
    <mergeCell ref="C11:D11"/>
    <mergeCell ref="C12:D12"/>
    <mergeCell ref="C13:D13"/>
  </mergeCells>
  <conditionalFormatting sqref="C7:C8 E81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3 E97 E104 E109 E114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8"/>
  <sheetViews>
    <sheetView tabSelected="1" topLeftCell="A15" zoomScale="150" zoomScaleNormal="130" workbookViewId="0">
      <selection activeCell="H31" sqref="H31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101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512.20000000000005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15.6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561.40000000000009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102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103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 t="s">
        <v>122</v>
      </c>
      <c r="B13" s="6" t="s">
        <v>75</v>
      </c>
      <c r="C13" s="62" t="s">
        <v>123</v>
      </c>
      <c r="D13" s="62"/>
      <c r="E13" s="29">
        <v>55</v>
      </c>
    </row>
    <row r="14" spans="1:25" ht="44" customHeight="1" x14ac:dyDescent="0.2">
      <c r="A14" s="50" t="s">
        <v>124</v>
      </c>
      <c r="B14" s="50" t="s">
        <v>24</v>
      </c>
      <c r="C14" s="61" t="s">
        <v>132</v>
      </c>
      <c r="D14" s="62"/>
      <c r="E14" s="29">
        <v>770.4</v>
      </c>
    </row>
    <row r="15" spans="1:25" ht="13.5" customHeight="1" x14ac:dyDescent="0.2">
      <c r="A15" s="24"/>
      <c r="B15" s="24"/>
      <c r="C15" s="5"/>
      <c r="D15" s="25" t="s">
        <v>30</v>
      </c>
      <c r="E15" s="26">
        <f>SUM(E12:E14)</f>
        <v>3310.4</v>
      </c>
    </row>
    <row r="16" spans="1:25" ht="13.5" customHeight="1" x14ac:dyDescent="0.2">
      <c r="B16" s="24"/>
    </row>
    <row r="17" spans="1:25" ht="13.5" customHeight="1" x14ac:dyDescent="0.2">
      <c r="A17" s="63" t="s">
        <v>104</v>
      </c>
      <c r="B17" s="63"/>
      <c r="C17" s="63"/>
      <c r="D17" s="63"/>
      <c r="E17" s="63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</row>
    <row r="18" spans="1:25" ht="13.5" customHeight="1" x14ac:dyDescent="0.2">
      <c r="A18" s="31" t="s">
        <v>9</v>
      </c>
      <c r="B18" s="32" t="s">
        <v>10</v>
      </c>
      <c r="C18" s="64" t="s">
        <v>11</v>
      </c>
      <c r="D18" s="64"/>
      <c r="E18" s="2" t="s">
        <v>12</v>
      </c>
    </row>
    <row r="19" spans="1:25" ht="13.5" customHeight="1" x14ac:dyDescent="0.2">
      <c r="A19" s="50" t="s">
        <v>131</v>
      </c>
      <c r="B19" s="6" t="s">
        <v>14</v>
      </c>
      <c r="C19" s="62" t="s">
        <v>15</v>
      </c>
      <c r="D19" s="62"/>
      <c r="E19" s="29">
        <v>2485</v>
      </c>
    </row>
    <row r="20" spans="1:25" ht="37" customHeight="1" x14ac:dyDescent="0.2">
      <c r="A20" s="50" t="s">
        <v>131</v>
      </c>
      <c r="B20" s="50" t="s">
        <v>28</v>
      </c>
      <c r="C20" s="67" t="s">
        <v>145</v>
      </c>
      <c r="D20" s="68"/>
      <c r="E20" s="29">
        <v>100</v>
      </c>
    </row>
    <row r="21" spans="1:25" ht="19" customHeight="1" x14ac:dyDescent="0.2">
      <c r="A21" s="54" t="s">
        <v>135</v>
      </c>
      <c r="B21" s="54" t="s">
        <v>136</v>
      </c>
      <c r="C21" s="65" t="s">
        <v>137</v>
      </c>
      <c r="D21" s="66"/>
      <c r="E21" s="29">
        <v>3.08</v>
      </c>
    </row>
    <row r="22" spans="1:25" ht="66" customHeight="1" x14ac:dyDescent="0.2">
      <c r="A22" s="50" t="s">
        <v>138</v>
      </c>
      <c r="B22" s="50" t="s">
        <v>24</v>
      </c>
      <c r="C22" s="67" t="s">
        <v>167</v>
      </c>
      <c r="D22" s="68"/>
      <c r="E22" s="29">
        <v>234.1</v>
      </c>
    </row>
    <row r="23" spans="1:25" ht="37" customHeight="1" x14ac:dyDescent="0.2">
      <c r="A23" s="50" t="s">
        <v>140</v>
      </c>
      <c r="B23" s="50" t="s">
        <v>141</v>
      </c>
      <c r="C23" s="67" t="s">
        <v>161</v>
      </c>
      <c r="D23" s="68"/>
      <c r="E23" s="29">
        <v>1500</v>
      </c>
    </row>
    <row r="24" spans="1:25" ht="13.5" customHeight="1" x14ac:dyDescent="0.2">
      <c r="A24" s="24"/>
      <c r="B24" s="24"/>
      <c r="C24" s="5"/>
      <c r="D24" s="25" t="s">
        <v>30</v>
      </c>
      <c r="E24" s="26">
        <f>SUM(E19:E23)</f>
        <v>4322.18</v>
      </c>
    </row>
    <row r="25" spans="1:25" ht="13.5" customHeight="1" x14ac:dyDescent="0.2">
      <c r="A25" s="24"/>
      <c r="B25" s="24"/>
    </row>
    <row r="26" spans="1:25" ht="13.5" customHeight="1" x14ac:dyDescent="0.2">
      <c r="A26" s="63" t="s">
        <v>105</v>
      </c>
      <c r="B26" s="63"/>
      <c r="C26" s="63"/>
      <c r="D26" s="63"/>
      <c r="E26" s="63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9</v>
      </c>
      <c r="B27" s="32" t="s">
        <v>10</v>
      </c>
      <c r="C27" s="64" t="s">
        <v>11</v>
      </c>
      <c r="D27" s="64"/>
      <c r="E27" s="2" t="s">
        <v>12</v>
      </c>
    </row>
    <row r="28" spans="1:25" ht="13.5" customHeight="1" x14ac:dyDescent="0.2">
      <c r="A28" s="50" t="s">
        <v>139</v>
      </c>
      <c r="B28" s="6" t="s">
        <v>14</v>
      </c>
      <c r="C28" s="62" t="s">
        <v>15</v>
      </c>
      <c r="D28" s="62"/>
      <c r="E28" s="33">
        <v>2485</v>
      </c>
    </row>
    <row r="29" spans="1:25" ht="13.5" customHeight="1" x14ac:dyDescent="0.2">
      <c r="A29" s="50" t="s">
        <v>139</v>
      </c>
      <c r="B29" s="6" t="s">
        <v>75</v>
      </c>
      <c r="C29" s="62" t="s">
        <v>123</v>
      </c>
      <c r="D29" s="62"/>
      <c r="E29" s="29">
        <v>55</v>
      </c>
    </row>
    <row r="30" spans="1:25" ht="42" customHeight="1" x14ac:dyDescent="0.2">
      <c r="A30" s="50" t="s">
        <v>139</v>
      </c>
      <c r="B30" s="50" t="s">
        <v>28</v>
      </c>
      <c r="C30" s="61" t="s">
        <v>171</v>
      </c>
      <c r="D30" s="62"/>
      <c r="E30" s="29">
        <v>100</v>
      </c>
    </row>
    <row r="31" spans="1:25" ht="28" customHeight="1" x14ac:dyDescent="0.2">
      <c r="A31" s="50" t="s">
        <v>173</v>
      </c>
      <c r="B31" s="50" t="s">
        <v>24</v>
      </c>
      <c r="C31" s="61" t="s">
        <v>174</v>
      </c>
      <c r="D31" s="62"/>
      <c r="E31" s="29">
        <v>500</v>
      </c>
    </row>
    <row r="32" spans="1:25" ht="13.5" customHeight="1" x14ac:dyDescent="0.2">
      <c r="A32" s="24"/>
      <c r="B32" s="24"/>
      <c r="C32" s="5"/>
      <c r="D32" s="34" t="s">
        <v>30</v>
      </c>
      <c r="E32" s="35">
        <f>SUM(E28:E31)</f>
        <v>3140</v>
      </c>
    </row>
    <row r="33" spans="1:4" ht="13.5" customHeight="1" x14ac:dyDescent="0.2">
      <c r="A33" s="24"/>
      <c r="B33" s="24"/>
    </row>
    <row r="34" spans="1:4" ht="15" customHeight="1" x14ac:dyDescent="0.2">
      <c r="A34" s="69" t="s">
        <v>106</v>
      </c>
      <c r="B34" s="69"/>
      <c r="C34" s="69"/>
    </row>
    <row r="35" spans="1:4" ht="17" x14ac:dyDescent="0.2">
      <c r="A35" s="1" t="s">
        <v>10</v>
      </c>
      <c r="B35" s="1" t="s">
        <v>11</v>
      </c>
      <c r="C35" s="36" t="s">
        <v>12</v>
      </c>
      <c r="D35" s="37"/>
    </row>
    <row r="36" spans="1:4" ht="13.5" customHeight="1" x14ac:dyDescent="0.2">
      <c r="A36" s="70" t="s">
        <v>41</v>
      </c>
      <c r="B36" s="70"/>
      <c r="C36" s="70"/>
    </row>
    <row r="37" spans="1:4" ht="13.5" customHeight="1" x14ac:dyDescent="0.2">
      <c r="A37" s="50" t="s">
        <v>17</v>
      </c>
      <c r="B37" s="50" t="s">
        <v>112</v>
      </c>
      <c r="C37" s="33">
        <v>78</v>
      </c>
    </row>
    <row r="38" spans="1:4" ht="13.5" customHeight="1" x14ac:dyDescent="0.2">
      <c r="A38" s="17" t="s">
        <v>42</v>
      </c>
      <c r="B38" s="17" t="s">
        <v>43</v>
      </c>
      <c r="C38" s="38">
        <v>0</v>
      </c>
    </row>
    <row r="39" spans="1:4" ht="13.5" customHeight="1" x14ac:dyDescent="0.2">
      <c r="A39" s="17" t="s">
        <v>44</v>
      </c>
      <c r="B39" s="17" t="s">
        <v>45</v>
      </c>
      <c r="C39" s="38">
        <v>138</v>
      </c>
    </row>
    <row r="40" spans="1:4" ht="13.5" customHeight="1" x14ac:dyDescent="0.2">
      <c r="A40" s="7"/>
      <c r="B40" s="6" t="s">
        <v>46</v>
      </c>
      <c r="C40" s="39">
        <f>SUM(C37:C39)</f>
        <v>216</v>
      </c>
    </row>
    <row r="41" spans="1:4" ht="13.5" customHeight="1" x14ac:dyDescent="0.2">
      <c r="A41" s="71" t="s">
        <v>47</v>
      </c>
      <c r="B41" s="71"/>
      <c r="C41" s="71"/>
    </row>
    <row r="42" spans="1:4" ht="13.5" customHeight="1" x14ac:dyDescent="0.2">
      <c r="A42" s="71"/>
      <c r="B42" s="71"/>
      <c r="C42" s="71"/>
    </row>
    <row r="43" spans="1:4" ht="13.5" customHeight="1" x14ac:dyDescent="0.2">
      <c r="A43" s="6" t="s">
        <v>48</v>
      </c>
      <c r="B43" s="6"/>
      <c r="C43" s="29">
        <v>0</v>
      </c>
    </row>
    <row r="44" spans="1:4" ht="13.5" customHeight="1" x14ac:dyDescent="0.2">
      <c r="A44" s="6" t="s">
        <v>49</v>
      </c>
      <c r="B44" s="6"/>
      <c r="C44" s="19">
        <v>0</v>
      </c>
    </row>
    <row r="45" spans="1:4" ht="13.5" customHeight="1" x14ac:dyDescent="0.2">
      <c r="A45" s="6" t="s">
        <v>50</v>
      </c>
      <c r="B45" s="6"/>
      <c r="C45" s="19">
        <v>0</v>
      </c>
    </row>
    <row r="46" spans="1:4" ht="13.5" customHeight="1" x14ac:dyDescent="0.2">
      <c r="A46" s="6" t="s">
        <v>51</v>
      </c>
      <c r="B46" s="6"/>
      <c r="C46" s="19">
        <v>0</v>
      </c>
    </row>
    <row r="47" spans="1:4" ht="13.5" customHeight="1" x14ac:dyDescent="0.2">
      <c r="A47" s="6"/>
      <c r="B47" s="6" t="s">
        <v>52</v>
      </c>
      <c r="C47" s="39">
        <f>SUM(C43:C46)</f>
        <v>0</v>
      </c>
    </row>
    <row r="48" spans="1:4" ht="13.5" customHeight="1" x14ac:dyDescent="0.2">
      <c r="A48" s="70" t="s">
        <v>53</v>
      </c>
      <c r="B48" s="70"/>
      <c r="C48" s="70"/>
    </row>
    <row r="49" spans="1:3" ht="13.5" customHeight="1" x14ac:dyDescent="0.2">
      <c r="A49" s="6" t="s">
        <v>54</v>
      </c>
      <c r="B49" s="6" t="s">
        <v>55</v>
      </c>
      <c r="C49" s="33">
        <v>0</v>
      </c>
    </row>
    <row r="50" spans="1:3" ht="13.5" customHeight="1" x14ac:dyDescent="0.2">
      <c r="A50" s="6" t="s">
        <v>56</v>
      </c>
      <c r="B50" s="6" t="s">
        <v>57</v>
      </c>
      <c r="C50" s="33">
        <v>0</v>
      </c>
    </row>
    <row r="51" spans="1:3" ht="13.5" customHeight="1" x14ac:dyDescent="0.2">
      <c r="A51" s="6"/>
      <c r="B51" s="6" t="s">
        <v>58</v>
      </c>
      <c r="C51" s="39">
        <f>SUM(C49:C50)</f>
        <v>0</v>
      </c>
    </row>
    <row r="52" spans="1:3" ht="13.5" customHeight="1" x14ac:dyDescent="0.2">
      <c r="A52" s="70" t="s">
        <v>59</v>
      </c>
      <c r="B52" s="70"/>
      <c r="C52" s="70"/>
    </row>
    <row r="53" spans="1:3" ht="13.5" customHeight="1" x14ac:dyDescent="0.2">
      <c r="A53" s="6" t="s">
        <v>60</v>
      </c>
      <c r="B53" s="6" t="s">
        <v>61</v>
      </c>
      <c r="C53" s="29">
        <v>0</v>
      </c>
    </row>
    <row r="54" spans="1:3" ht="13.5" customHeight="1" x14ac:dyDescent="0.2">
      <c r="A54" s="17"/>
      <c r="B54" s="17" t="s">
        <v>62</v>
      </c>
      <c r="C54" s="39">
        <f>SUM(C53)</f>
        <v>0</v>
      </c>
    </row>
    <row r="55" spans="1:3" ht="13.5" customHeight="1" x14ac:dyDescent="0.2">
      <c r="A55" s="70" t="s">
        <v>63</v>
      </c>
      <c r="B55" s="70"/>
      <c r="C55" s="70"/>
    </row>
    <row r="56" spans="1:3" ht="13.5" customHeight="1" x14ac:dyDescent="0.2">
      <c r="A56" s="6" t="s">
        <v>64</v>
      </c>
      <c r="B56" s="6" t="s">
        <v>65</v>
      </c>
      <c r="C56" s="29">
        <v>0</v>
      </c>
    </row>
    <row r="57" spans="1:3" ht="13.5" customHeight="1" x14ac:dyDescent="0.2">
      <c r="A57" s="6"/>
      <c r="B57" s="6" t="s">
        <v>66</v>
      </c>
      <c r="C57" s="39">
        <f>SUM(C56)</f>
        <v>0</v>
      </c>
    </row>
    <row r="58" spans="1:3" ht="13.5" customHeight="1" x14ac:dyDescent="0.2">
      <c r="A58" s="72" t="s">
        <v>67</v>
      </c>
      <c r="B58" s="72"/>
      <c r="C58" s="72"/>
    </row>
    <row r="59" spans="1:3" ht="13.5" customHeight="1" x14ac:dyDescent="0.2">
      <c r="A59" s="17" t="s">
        <v>68</v>
      </c>
      <c r="B59" s="5" t="s">
        <v>69</v>
      </c>
      <c r="C59" s="40">
        <v>0</v>
      </c>
    </row>
    <row r="60" spans="1:3" ht="13.5" customHeight="1" x14ac:dyDescent="0.2">
      <c r="A60" s="6" t="s">
        <v>70</v>
      </c>
      <c r="B60" s="6" t="s">
        <v>18</v>
      </c>
      <c r="C60" s="29">
        <v>900</v>
      </c>
    </row>
    <row r="61" spans="1:3" ht="32" x14ac:dyDescent="0.2">
      <c r="A61" s="6" t="s">
        <v>71</v>
      </c>
      <c r="B61" s="6" t="s">
        <v>72</v>
      </c>
      <c r="C61" s="29">
        <v>0</v>
      </c>
    </row>
    <row r="62" spans="1:3" ht="13.5" customHeight="1" x14ac:dyDescent="0.2">
      <c r="A62" s="6" t="s">
        <v>73</v>
      </c>
      <c r="B62" s="6" t="s">
        <v>74</v>
      </c>
      <c r="C62" s="29">
        <v>0</v>
      </c>
    </row>
    <row r="63" spans="1:3" ht="13.5" customHeight="1" x14ac:dyDescent="0.2">
      <c r="A63" s="6" t="s">
        <v>75</v>
      </c>
      <c r="B63" s="6"/>
      <c r="C63" s="29">
        <v>55</v>
      </c>
    </row>
    <row r="64" spans="1:3" ht="13.5" customHeight="1" x14ac:dyDescent="0.2">
      <c r="A64" s="7" t="s">
        <v>76</v>
      </c>
      <c r="B64" s="7" t="s">
        <v>77</v>
      </c>
      <c r="C64" s="19">
        <v>0</v>
      </c>
    </row>
    <row r="65" spans="1:8" ht="13.5" customHeight="1" x14ac:dyDescent="0.2">
      <c r="A65" s="7"/>
      <c r="B65" s="7" t="s">
        <v>78</v>
      </c>
      <c r="C65" s="39">
        <f>SUM(C59:C64)</f>
        <v>955</v>
      </c>
    </row>
    <row r="66" spans="1:8" ht="13.5" customHeight="1" x14ac:dyDescent="0.2">
      <c r="A66" s="72" t="s">
        <v>79</v>
      </c>
      <c r="B66" s="72"/>
      <c r="C66" s="72"/>
    </row>
    <row r="67" spans="1:8" ht="13.5" customHeight="1" x14ac:dyDescent="0.2">
      <c r="A67" s="7" t="s">
        <v>24</v>
      </c>
      <c r="B67" s="7"/>
      <c r="C67" s="19">
        <v>100</v>
      </c>
    </row>
    <row r="68" spans="1:8" ht="13.5" customHeight="1" x14ac:dyDescent="0.2">
      <c r="A68" s="7" t="s">
        <v>80</v>
      </c>
      <c r="B68" s="7"/>
      <c r="C68" s="19">
        <v>250</v>
      </c>
    </row>
    <row r="69" spans="1:8" ht="13.5" customHeight="1" x14ac:dyDescent="0.2">
      <c r="A69" s="7"/>
      <c r="B69" s="7" t="s">
        <v>81</v>
      </c>
      <c r="C69" s="19">
        <f>SUM(C67:C68)</f>
        <v>350</v>
      </c>
    </row>
    <row r="70" spans="1:8" ht="13.5" customHeight="1" x14ac:dyDescent="0.2">
      <c r="A70" s="6"/>
      <c r="B70" s="34" t="s">
        <v>82</v>
      </c>
      <c r="C70" s="41">
        <f>C40+C47+C51+C54+C57+C65</f>
        <v>1171</v>
      </c>
      <c r="H70" s="42"/>
    </row>
    <row r="71" spans="1:8" ht="13.5" customHeight="1" x14ac:dyDescent="0.2">
      <c r="A71" s="24"/>
      <c r="B71" s="24"/>
    </row>
    <row r="72" spans="1:8" ht="13.5" customHeight="1" x14ac:dyDescent="0.2">
      <c r="A72" s="24"/>
      <c r="B72" s="24"/>
    </row>
    <row r="73" spans="1:8" ht="13.5" customHeight="1" x14ac:dyDescent="0.2">
      <c r="A73" s="73" t="s">
        <v>128</v>
      </c>
      <c r="B73" s="73"/>
      <c r="C73" s="73"/>
      <c r="D73" s="73"/>
      <c r="E73" s="73"/>
    </row>
    <row r="74" spans="1:8" ht="13.5" customHeight="1" x14ac:dyDescent="0.2">
      <c r="A74" s="74" t="s">
        <v>83</v>
      </c>
      <c r="B74" s="74"/>
      <c r="C74" s="74" t="s">
        <v>11</v>
      </c>
      <c r="D74" s="74"/>
      <c r="E74" s="44" t="s">
        <v>12</v>
      </c>
    </row>
    <row r="75" spans="1:8" ht="24" customHeight="1" x14ac:dyDescent="0.2">
      <c r="A75" s="75" t="s">
        <v>107</v>
      </c>
      <c r="B75" s="75"/>
      <c r="C75" s="76"/>
      <c r="D75" s="76"/>
      <c r="E75" s="47">
        <f>'April 2026 - June 2026'!E114</f>
        <v>110.69999999999982</v>
      </c>
    </row>
    <row r="76" spans="1:8" ht="39" customHeight="1" x14ac:dyDescent="0.2">
      <c r="A76" s="77" t="s">
        <v>67</v>
      </c>
      <c r="B76" s="77"/>
      <c r="C76" s="78" t="s">
        <v>121</v>
      </c>
      <c r="D76" s="78"/>
      <c r="E76" s="45">
        <v>600</v>
      </c>
    </row>
    <row r="77" spans="1:8" ht="259" customHeight="1" x14ac:dyDescent="0.2">
      <c r="A77" s="77"/>
      <c r="B77" s="77"/>
      <c r="C77" s="79" t="s">
        <v>133</v>
      </c>
      <c r="D77" s="80"/>
      <c r="E77" s="45">
        <v>1117.5</v>
      </c>
    </row>
    <row r="78" spans="1:8" ht="146" customHeight="1" x14ac:dyDescent="0.2">
      <c r="A78" s="77"/>
      <c r="B78" s="77"/>
      <c r="C78" s="79" t="s">
        <v>134</v>
      </c>
      <c r="D78" s="81"/>
      <c r="E78" s="45">
        <v>508</v>
      </c>
    </row>
    <row r="79" spans="1:8" ht="13.5" customHeight="1" x14ac:dyDescent="0.2">
      <c r="A79" s="77" t="s">
        <v>95</v>
      </c>
      <c r="B79" s="77"/>
      <c r="C79" s="82"/>
      <c r="D79" s="82"/>
      <c r="E79" s="46">
        <f>C70</f>
        <v>1171</v>
      </c>
    </row>
    <row r="80" spans="1:8" ht="13.5" customHeight="1" x14ac:dyDescent="0.2">
      <c r="C80" s="83" t="s">
        <v>96</v>
      </c>
      <c r="D80" s="83"/>
      <c r="E80" s="47">
        <f>(E15+E75)-SUM(E76:E79)</f>
        <v>24.599999999999909</v>
      </c>
    </row>
    <row r="81" spans="1:5" ht="13.5" customHeight="1" x14ac:dyDescent="0.2"/>
    <row r="82" spans="1:5" ht="13.5" customHeight="1" x14ac:dyDescent="0.2">
      <c r="A82" s="73" t="s">
        <v>129</v>
      </c>
      <c r="B82" s="73"/>
      <c r="C82" s="73"/>
      <c r="D82" s="73"/>
      <c r="E82" s="73"/>
    </row>
    <row r="83" spans="1:5" ht="13.5" customHeight="1" x14ac:dyDescent="0.2">
      <c r="A83" s="73" t="s">
        <v>83</v>
      </c>
      <c r="B83" s="73"/>
      <c r="C83" s="73" t="s">
        <v>11</v>
      </c>
      <c r="D83" s="73"/>
      <c r="E83" s="43" t="s">
        <v>12</v>
      </c>
    </row>
    <row r="84" spans="1:5" ht="23" customHeight="1" x14ac:dyDescent="0.2">
      <c r="A84" s="75" t="s">
        <v>108</v>
      </c>
      <c r="B84" s="75"/>
      <c r="C84" s="84"/>
      <c r="D84" s="84"/>
      <c r="E84" s="47">
        <f>E80</f>
        <v>24.599999999999909</v>
      </c>
    </row>
    <row r="85" spans="1:5" ht="56" customHeight="1" x14ac:dyDescent="0.2">
      <c r="A85" s="92" t="s">
        <v>67</v>
      </c>
      <c r="B85" s="93"/>
      <c r="C85" s="85" t="s">
        <v>142</v>
      </c>
      <c r="D85" s="86"/>
      <c r="E85" s="48">
        <v>830.4</v>
      </c>
    </row>
    <row r="86" spans="1:5" ht="149" customHeight="1" x14ac:dyDescent="0.2">
      <c r="A86" s="94"/>
      <c r="B86" s="95"/>
      <c r="C86" s="78" t="s">
        <v>146</v>
      </c>
      <c r="D86" s="78"/>
      <c r="E86" s="48">
        <v>721.4</v>
      </c>
    </row>
    <row r="87" spans="1:5" ht="234" customHeight="1" x14ac:dyDescent="0.2">
      <c r="A87" s="94"/>
      <c r="B87" s="95"/>
      <c r="C87" s="89" t="s">
        <v>169</v>
      </c>
      <c r="D87" s="90"/>
      <c r="E87" s="48">
        <v>956.5</v>
      </c>
    </row>
    <row r="88" spans="1:5" ht="40" customHeight="1" x14ac:dyDescent="0.2">
      <c r="A88" s="94"/>
      <c r="B88" s="95"/>
      <c r="C88" s="85" t="s">
        <v>144</v>
      </c>
      <c r="D88" s="91"/>
      <c r="E88" s="48">
        <v>196.54</v>
      </c>
    </row>
    <row r="89" spans="1:5" ht="80" customHeight="1" x14ac:dyDescent="0.2">
      <c r="A89" s="96"/>
      <c r="B89" s="97"/>
      <c r="C89" s="89" t="s">
        <v>143</v>
      </c>
      <c r="D89" s="90"/>
      <c r="E89" s="55">
        <v>426</v>
      </c>
    </row>
    <row r="90" spans="1:5" ht="19.5" customHeight="1" x14ac:dyDescent="0.2">
      <c r="A90" s="76" t="s">
        <v>95</v>
      </c>
      <c r="B90" s="76"/>
      <c r="C90" s="84"/>
      <c r="D90" s="84"/>
      <c r="E90" s="45">
        <f>C70</f>
        <v>1171</v>
      </c>
    </row>
    <row r="91" spans="1:5" ht="13.5" customHeight="1" x14ac:dyDescent="0.2">
      <c r="C91" s="87" t="s">
        <v>96</v>
      </c>
      <c r="D91" s="87"/>
      <c r="E91" s="47">
        <f>(E24+E84)-SUM(E85:E90)</f>
        <v>44.940000000000509</v>
      </c>
    </row>
    <row r="92" spans="1:5" ht="13.5" customHeight="1" x14ac:dyDescent="0.2">
      <c r="A92" s="49"/>
      <c r="B92" s="49"/>
      <c r="C92" s="49"/>
      <c r="D92" s="49"/>
      <c r="E92" s="49"/>
    </row>
    <row r="93" spans="1:5" ht="13.5" customHeight="1" x14ac:dyDescent="0.2">
      <c r="A93" s="49"/>
      <c r="B93" s="49"/>
      <c r="C93" s="49"/>
      <c r="D93" s="49"/>
      <c r="E93" s="49"/>
    </row>
    <row r="94" spans="1:5" ht="22" customHeight="1" x14ac:dyDescent="0.2">
      <c r="A94" s="88" t="s">
        <v>130</v>
      </c>
      <c r="B94" s="88"/>
      <c r="C94" s="88"/>
      <c r="D94" s="88"/>
      <c r="E94" s="88"/>
    </row>
    <row r="95" spans="1:5" ht="13.5" customHeight="1" x14ac:dyDescent="0.2">
      <c r="A95" s="73" t="s">
        <v>83</v>
      </c>
      <c r="B95" s="73"/>
      <c r="C95" s="73" t="s">
        <v>11</v>
      </c>
      <c r="D95" s="73"/>
      <c r="E95" s="43" t="s">
        <v>12</v>
      </c>
    </row>
    <row r="96" spans="1:5" ht="25" customHeight="1" x14ac:dyDescent="0.2">
      <c r="A96" s="75" t="s">
        <v>109</v>
      </c>
      <c r="B96" s="75"/>
      <c r="C96" s="84"/>
      <c r="D96" s="84"/>
      <c r="E96" s="47">
        <f>E91</f>
        <v>44.940000000000509</v>
      </c>
    </row>
    <row r="97" spans="1:5" ht="31" customHeight="1" x14ac:dyDescent="0.2">
      <c r="A97" s="92" t="s">
        <v>67</v>
      </c>
      <c r="B97" s="93"/>
      <c r="C97" s="85" t="s">
        <v>166</v>
      </c>
      <c r="D97" s="86"/>
      <c r="E97" s="45">
        <v>250</v>
      </c>
    </row>
    <row r="98" spans="1:5" ht="88" customHeight="1" x14ac:dyDescent="0.2">
      <c r="A98" s="94"/>
      <c r="B98" s="95"/>
      <c r="C98" s="98" t="s">
        <v>170</v>
      </c>
      <c r="D98" s="99"/>
      <c r="E98" s="45">
        <v>351.9</v>
      </c>
    </row>
    <row r="99" spans="1:5" ht="112" customHeight="1" x14ac:dyDescent="0.2">
      <c r="A99" s="94"/>
      <c r="B99" s="95"/>
      <c r="C99" s="98" t="s">
        <v>172</v>
      </c>
      <c r="D99" s="99"/>
      <c r="E99" s="45">
        <v>714</v>
      </c>
    </row>
    <row r="100" spans="1:5" ht="20" customHeight="1" x14ac:dyDescent="0.2">
      <c r="A100" s="96"/>
      <c r="B100" s="97"/>
      <c r="C100" s="98" t="s">
        <v>165</v>
      </c>
      <c r="D100" s="99"/>
      <c r="E100" s="45">
        <v>136.63999999999999</v>
      </c>
    </row>
    <row r="101" spans="1:5" ht="13.5" customHeight="1" x14ac:dyDescent="0.2">
      <c r="A101" s="76" t="s">
        <v>95</v>
      </c>
      <c r="B101" s="76"/>
      <c r="C101" s="84"/>
      <c r="D101" s="84"/>
      <c r="E101" s="45">
        <f>C70</f>
        <v>1171</v>
      </c>
    </row>
    <row r="102" spans="1:5" ht="13.5" customHeight="1" x14ac:dyDescent="0.2">
      <c r="C102" s="87" t="s">
        <v>96</v>
      </c>
      <c r="D102" s="87"/>
      <c r="E102" s="47">
        <f>(E32+E96)-SUM(E97:E101)</f>
        <v>561.40000000000055</v>
      </c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</sheetData>
  <mergeCells count="66">
    <mergeCell ref="C102:D102"/>
    <mergeCell ref="A96:B96"/>
    <mergeCell ref="C96:D96"/>
    <mergeCell ref="A101:B101"/>
    <mergeCell ref="C101:D101"/>
    <mergeCell ref="C98:D98"/>
    <mergeCell ref="C99:D99"/>
    <mergeCell ref="C100:D100"/>
    <mergeCell ref="C97:D97"/>
    <mergeCell ref="A97:B100"/>
    <mergeCell ref="C85:D85"/>
    <mergeCell ref="C91:D91"/>
    <mergeCell ref="A94:E94"/>
    <mergeCell ref="A95:B95"/>
    <mergeCell ref="C95:D95"/>
    <mergeCell ref="C86:D86"/>
    <mergeCell ref="C87:D87"/>
    <mergeCell ref="C89:D89"/>
    <mergeCell ref="A90:B90"/>
    <mergeCell ref="C90:D90"/>
    <mergeCell ref="C88:D88"/>
    <mergeCell ref="A85:B89"/>
    <mergeCell ref="C80:D80"/>
    <mergeCell ref="A82:E82"/>
    <mergeCell ref="A83:B83"/>
    <mergeCell ref="C83:D83"/>
    <mergeCell ref="A84:B84"/>
    <mergeCell ref="C84:D84"/>
    <mergeCell ref="A76:B78"/>
    <mergeCell ref="C76:D76"/>
    <mergeCell ref="C77:D77"/>
    <mergeCell ref="C78:D78"/>
    <mergeCell ref="A79:B79"/>
    <mergeCell ref="C79:D79"/>
    <mergeCell ref="A66:C66"/>
    <mergeCell ref="A73:E73"/>
    <mergeCell ref="A74:B74"/>
    <mergeCell ref="C74:D74"/>
    <mergeCell ref="A75:B75"/>
    <mergeCell ref="C75:D75"/>
    <mergeCell ref="A41:C42"/>
    <mergeCell ref="A48:C48"/>
    <mergeCell ref="A52:C52"/>
    <mergeCell ref="A55:C55"/>
    <mergeCell ref="A58:C58"/>
    <mergeCell ref="C27:D27"/>
    <mergeCell ref="C28:D28"/>
    <mergeCell ref="C31:D31"/>
    <mergeCell ref="A34:C34"/>
    <mergeCell ref="A36:C36"/>
    <mergeCell ref="C29:D29"/>
    <mergeCell ref="C30:D30"/>
    <mergeCell ref="A17:E17"/>
    <mergeCell ref="C18:D18"/>
    <mergeCell ref="C19:D19"/>
    <mergeCell ref="C21:D21"/>
    <mergeCell ref="A26:E26"/>
    <mergeCell ref="C20:D20"/>
    <mergeCell ref="C23:D23"/>
    <mergeCell ref="C22:D22"/>
    <mergeCell ref="A1:E1"/>
    <mergeCell ref="A10:E10"/>
    <mergeCell ref="C11:D11"/>
    <mergeCell ref="C12:D12"/>
    <mergeCell ref="C14:D14"/>
    <mergeCell ref="C13:D13"/>
  </mergeCells>
  <conditionalFormatting sqref="C7:C8 E75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80 E84 E91 E96 E102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1"/>
  <sheetViews>
    <sheetView topLeftCell="A20" zoomScale="140" zoomScaleNormal="130" workbookViewId="0">
      <selection activeCell="G71" sqref="G71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57" t="s">
        <v>149</v>
      </c>
      <c r="B1" s="57"/>
      <c r="C1" s="57"/>
      <c r="D1" s="57"/>
      <c r="E1" s="5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35.25" customHeight="1" x14ac:dyDescent="0.2">
      <c r="A3" s="8" t="s">
        <v>1</v>
      </c>
      <c r="B3" s="8" t="s">
        <v>2</v>
      </c>
      <c r="C3" s="9">
        <f>'April 2026 - June 2026'!C3</f>
        <v>33.6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3</v>
      </c>
      <c r="C4" s="9">
        <f>'April 2026 - June 2026'!C4</f>
        <v>512.20000000000005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35.25" customHeight="1" x14ac:dyDescent="0.2">
      <c r="A5" s="8"/>
      <c r="B5" s="8" t="s">
        <v>4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5</v>
      </c>
      <c r="C6" s="9">
        <f>'April 2026 - June 2026'!C6</f>
        <v>0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6</v>
      </c>
      <c r="C7" s="9">
        <f>'April 2026 - June 2026'!C7</f>
        <v>15.6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7</v>
      </c>
      <c r="C8" s="9">
        <f>'April 2026 - June 2026'!C8</f>
        <v>561.40000000000009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13.5" customHeight="1" x14ac:dyDescent="0.2">
      <c r="A9" s="12"/>
      <c r="B9" s="12"/>
      <c r="C9" s="12"/>
      <c r="D9" s="12"/>
      <c r="E9" s="12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58" t="s">
        <v>152</v>
      </c>
      <c r="B10" s="58"/>
      <c r="C10" s="58"/>
      <c r="D10" s="58"/>
      <c r="E10" s="5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13" t="s">
        <v>9</v>
      </c>
      <c r="B11" s="14" t="s">
        <v>10</v>
      </c>
      <c r="C11" s="59" t="s">
        <v>11</v>
      </c>
      <c r="D11" s="59"/>
      <c r="E11" s="4" t="s">
        <v>12</v>
      </c>
    </row>
    <row r="12" spans="1:25" ht="13.5" customHeight="1" x14ac:dyDescent="0.2">
      <c r="A12" s="51" t="s">
        <v>147</v>
      </c>
      <c r="B12" s="51" t="s">
        <v>14</v>
      </c>
      <c r="C12" s="60" t="s">
        <v>15</v>
      </c>
      <c r="D12" s="60"/>
      <c r="E12" s="52">
        <v>2485</v>
      </c>
    </row>
    <row r="13" spans="1:25" ht="13.5" customHeight="1" x14ac:dyDescent="0.2">
      <c r="A13" s="6"/>
      <c r="B13" s="6"/>
      <c r="C13" s="62"/>
      <c r="D13" s="62"/>
      <c r="E13" s="29">
        <v>0</v>
      </c>
    </row>
    <row r="14" spans="1:25" ht="13.5" customHeight="1" x14ac:dyDescent="0.2">
      <c r="A14" s="24"/>
      <c r="B14" s="24"/>
      <c r="C14" s="5"/>
      <c r="D14" s="25" t="s">
        <v>30</v>
      </c>
      <c r="E14" s="26">
        <f>SUM(E12:E13)</f>
        <v>2485</v>
      </c>
    </row>
    <row r="15" spans="1:25" ht="13.5" customHeight="1" x14ac:dyDescent="0.2">
      <c r="B15" s="24"/>
    </row>
    <row r="16" spans="1:25" ht="13.5" customHeight="1" x14ac:dyDescent="0.2">
      <c r="A16" s="63" t="s">
        <v>153</v>
      </c>
      <c r="B16" s="63"/>
      <c r="C16" s="63"/>
      <c r="D16" s="63"/>
      <c r="E16" s="63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</row>
    <row r="17" spans="1:25" ht="13.5" customHeight="1" x14ac:dyDescent="0.2">
      <c r="A17" s="31" t="s">
        <v>9</v>
      </c>
      <c r="B17" s="32" t="s">
        <v>10</v>
      </c>
      <c r="C17" s="64" t="s">
        <v>11</v>
      </c>
      <c r="D17" s="64"/>
      <c r="E17" s="2" t="s">
        <v>12</v>
      </c>
    </row>
    <row r="18" spans="1:25" ht="13.5" customHeight="1" x14ac:dyDescent="0.2">
      <c r="A18" s="50" t="s">
        <v>154</v>
      </c>
      <c r="B18" s="6" t="s">
        <v>14</v>
      </c>
      <c r="C18" s="62" t="s">
        <v>15</v>
      </c>
      <c r="D18" s="62"/>
      <c r="E18" s="29">
        <v>2485</v>
      </c>
    </row>
    <row r="19" spans="1:25" ht="19" customHeight="1" x14ac:dyDescent="0.2">
      <c r="A19" s="54"/>
      <c r="B19" s="54"/>
      <c r="C19" s="65"/>
      <c r="D19" s="66"/>
      <c r="E19" s="29">
        <v>0</v>
      </c>
    </row>
    <row r="20" spans="1:25" ht="13.5" customHeight="1" x14ac:dyDescent="0.2">
      <c r="A20" s="24"/>
      <c r="B20" s="24"/>
      <c r="C20" s="5"/>
      <c r="D20" s="25" t="s">
        <v>30</v>
      </c>
      <c r="E20" s="26">
        <f>SUM(E18:E19)</f>
        <v>2485</v>
      </c>
    </row>
    <row r="21" spans="1:25" ht="13.5" customHeight="1" x14ac:dyDescent="0.2">
      <c r="A21" s="24"/>
      <c r="B21" s="24"/>
    </row>
    <row r="22" spans="1:25" ht="13.5" customHeight="1" x14ac:dyDescent="0.2">
      <c r="A22" s="63" t="s">
        <v>158</v>
      </c>
      <c r="B22" s="63"/>
      <c r="C22" s="63"/>
      <c r="D22" s="63"/>
      <c r="E22" s="63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</row>
    <row r="23" spans="1:25" ht="13.5" customHeight="1" x14ac:dyDescent="0.2">
      <c r="A23" s="31" t="s">
        <v>9</v>
      </c>
      <c r="B23" s="32" t="s">
        <v>10</v>
      </c>
      <c r="C23" s="64" t="s">
        <v>11</v>
      </c>
      <c r="D23" s="64"/>
      <c r="E23" s="2" t="s">
        <v>12</v>
      </c>
    </row>
    <row r="24" spans="1:25" ht="13.5" customHeight="1" x14ac:dyDescent="0.2">
      <c r="A24" s="50" t="s">
        <v>150</v>
      </c>
      <c r="B24" s="6" t="s">
        <v>14</v>
      </c>
      <c r="C24" s="62" t="s">
        <v>15</v>
      </c>
      <c r="D24" s="62"/>
      <c r="E24" s="33">
        <v>2485</v>
      </c>
    </row>
    <row r="25" spans="1:25" ht="13.5" customHeight="1" x14ac:dyDescent="0.2">
      <c r="A25" s="6"/>
      <c r="B25" s="6"/>
      <c r="C25" s="62"/>
      <c r="D25" s="62"/>
      <c r="E25" s="29">
        <v>0</v>
      </c>
    </row>
    <row r="26" spans="1:25" ht="13.5" customHeight="1" x14ac:dyDescent="0.2">
      <c r="A26" s="24"/>
      <c r="B26" s="24"/>
      <c r="C26" s="5"/>
      <c r="D26" s="34" t="s">
        <v>30</v>
      </c>
      <c r="E26" s="35">
        <f>SUM(E24:E25)</f>
        <v>2485</v>
      </c>
    </row>
    <row r="27" spans="1:25" ht="13.5" customHeight="1" x14ac:dyDescent="0.2">
      <c r="A27" s="24"/>
      <c r="B27" s="24"/>
    </row>
    <row r="28" spans="1:25" ht="15" customHeight="1" x14ac:dyDescent="0.2">
      <c r="A28" s="69" t="s">
        <v>151</v>
      </c>
      <c r="B28" s="69"/>
      <c r="C28" s="69"/>
    </row>
    <row r="29" spans="1:25" ht="17" x14ac:dyDescent="0.2">
      <c r="A29" s="1" t="s">
        <v>10</v>
      </c>
      <c r="B29" s="1" t="s">
        <v>11</v>
      </c>
      <c r="C29" s="36" t="s">
        <v>12</v>
      </c>
      <c r="D29" s="37"/>
    </row>
    <row r="30" spans="1:25" ht="13.5" customHeight="1" x14ac:dyDescent="0.2">
      <c r="A30" s="70" t="s">
        <v>41</v>
      </c>
      <c r="B30" s="70"/>
      <c r="C30" s="70"/>
    </row>
    <row r="31" spans="1:25" ht="13.5" customHeight="1" x14ac:dyDescent="0.2">
      <c r="A31" s="50" t="s">
        <v>17</v>
      </c>
      <c r="B31" s="50" t="s">
        <v>112</v>
      </c>
      <c r="C31" s="33">
        <v>78</v>
      </c>
    </row>
    <row r="32" spans="1:25" ht="13.5" customHeight="1" x14ac:dyDescent="0.2">
      <c r="A32" s="17" t="s">
        <v>42</v>
      </c>
      <c r="B32" s="17" t="s">
        <v>43</v>
      </c>
      <c r="C32" s="38">
        <v>0</v>
      </c>
    </row>
    <row r="33" spans="1:3" ht="13.5" customHeight="1" x14ac:dyDescent="0.2">
      <c r="A33" s="17" t="s">
        <v>44</v>
      </c>
      <c r="B33" s="17" t="s">
        <v>45</v>
      </c>
      <c r="C33" s="38">
        <v>138</v>
      </c>
    </row>
    <row r="34" spans="1:3" ht="13.5" customHeight="1" x14ac:dyDescent="0.2">
      <c r="A34" s="7"/>
      <c r="B34" s="6" t="s">
        <v>46</v>
      </c>
      <c r="C34" s="39">
        <f>SUM(C31:C33)</f>
        <v>216</v>
      </c>
    </row>
    <row r="35" spans="1:3" ht="13.5" customHeight="1" x14ac:dyDescent="0.2">
      <c r="A35" s="71" t="s">
        <v>47</v>
      </c>
      <c r="B35" s="71"/>
      <c r="C35" s="71"/>
    </row>
    <row r="36" spans="1:3" ht="13.5" customHeight="1" x14ac:dyDescent="0.2">
      <c r="A36" s="71"/>
      <c r="B36" s="71"/>
      <c r="C36" s="71"/>
    </row>
    <row r="37" spans="1:3" ht="13.5" customHeight="1" x14ac:dyDescent="0.2">
      <c r="A37" s="6" t="s">
        <v>48</v>
      </c>
      <c r="B37" s="6"/>
      <c r="C37" s="29">
        <v>0</v>
      </c>
    </row>
    <row r="38" spans="1:3" ht="13.5" customHeight="1" x14ac:dyDescent="0.2">
      <c r="A38" s="6" t="s">
        <v>49</v>
      </c>
      <c r="B38" s="6"/>
      <c r="C38" s="19">
        <v>0</v>
      </c>
    </row>
    <row r="39" spans="1:3" ht="13.5" customHeight="1" x14ac:dyDescent="0.2">
      <c r="A39" s="6" t="s">
        <v>50</v>
      </c>
      <c r="B39" s="6"/>
      <c r="C39" s="19">
        <v>0</v>
      </c>
    </row>
    <row r="40" spans="1:3" ht="13.5" customHeight="1" x14ac:dyDescent="0.2">
      <c r="A40" s="6" t="s">
        <v>51</v>
      </c>
      <c r="B40" s="6"/>
      <c r="C40" s="19">
        <v>0</v>
      </c>
    </row>
    <row r="41" spans="1:3" ht="13.5" customHeight="1" x14ac:dyDescent="0.2">
      <c r="A41" s="6"/>
      <c r="B41" s="6" t="s">
        <v>52</v>
      </c>
      <c r="C41" s="39">
        <f>SUM(C37:C40)</f>
        <v>0</v>
      </c>
    </row>
    <row r="42" spans="1:3" ht="13.5" customHeight="1" x14ac:dyDescent="0.2">
      <c r="A42" s="70" t="s">
        <v>53</v>
      </c>
      <c r="B42" s="70"/>
      <c r="C42" s="70"/>
    </row>
    <row r="43" spans="1:3" ht="13.5" customHeight="1" x14ac:dyDescent="0.2">
      <c r="A43" s="6" t="s">
        <v>54</v>
      </c>
      <c r="B43" s="6" t="s">
        <v>55</v>
      </c>
      <c r="C43" s="33">
        <v>0</v>
      </c>
    </row>
    <row r="44" spans="1:3" ht="13.5" customHeight="1" x14ac:dyDescent="0.2">
      <c r="A44" s="6" t="s">
        <v>56</v>
      </c>
      <c r="B44" s="6" t="s">
        <v>57</v>
      </c>
      <c r="C44" s="33">
        <v>0</v>
      </c>
    </row>
    <row r="45" spans="1:3" ht="13.5" customHeight="1" x14ac:dyDescent="0.2">
      <c r="A45" s="6"/>
      <c r="B45" s="6" t="s">
        <v>58</v>
      </c>
      <c r="C45" s="39">
        <f>SUM(C43:C44)</f>
        <v>0</v>
      </c>
    </row>
    <row r="46" spans="1:3" ht="13.5" customHeight="1" x14ac:dyDescent="0.2">
      <c r="A46" s="70" t="s">
        <v>59</v>
      </c>
      <c r="B46" s="70"/>
      <c r="C46" s="70"/>
    </row>
    <row r="47" spans="1:3" ht="13.5" customHeight="1" x14ac:dyDescent="0.2">
      <c r="A47" s="6" t="s">
        <v>60</v>
      </c>
      <c r="B47" s="6" t="s">
        <v>61</v>
      </c>
      <c r="C47" s="29">
        <v>0</v>
      </c>
    </row>
    <row r="48" spans="1:3" ht="13.5" customHeight="1" x14ac:dyDescent="0.2">
      <c r="A48" s="17"/>
      <c r="B48" s="17" t="s">
        <v>62</v>
      </c>
      <c r="C48" s="39">
        <f>SUM(C47)</f>
        <v>0</v>
      </c>
    </row>
    <row r="49" spans="1:8" ht="13.5" customHeight="1" x14ac:dyDescent="0.2">
      <c r="A49" s="70" t="s">
        <v>63</v>
      </c>
      <c r="B49" s="70"/>
      <c r="C49" s="70"/>
    </row>
    <row r="50" spans="1:8" ht="13.5" customHeight="1" x14ac:dyDescent="0.2">
      <c r="A50" s="6" t="s">
        <v>64</v>
      </c>
      <c r="B50" s="6" t="s">
        <v>65</v>
      </c>
      <c r="C50" s="29">
        <v>0</v>
      </c>
    </row>
    <row r="51" spans="1:8" ht="13.5" customHeight="1" x14ac:dyDescent="0.2">
      <c r="A51" s="6"/>
      <c r="B51" s="6" t="s">
        <v>66</v>
      </c>
      <c r="C51" s="39">
        <f>SUM(C50)</f>
        <v>0</v>
      </c>
    </row>
    <row r="52" spans="1:8" ht="13.5" customHeight="1" x14ac:dyDescent="0.2">
      <c r="A52" s="72" t="s">
        <v>67</v>
      </c>
      <c r="B52" s="72"/>
      <c r="C52" s="72"/>
    </row>
    <row r="53" spans="1:8" ht="13.5" customHeight="1" x14ac:dyDescent="0.2">
      <c r="A53" s="17" t="s">
        <v>68</v>
      </c>
      <c r="B53" s="5" t="s">
        <v>69</v>
      </c>
      <c r="C53" s="40">
        <v>0</v>
      </c>
    </row>
    <row r="54" spans="1:8" ht="36" customHeight="1" x14ac:dyDescent="0.2">
      <c r="A54" s="6" t="s">
        <v>70</v>
      </c>
      <c r="B54" s="50" t="s">
        <v>164</v>
      </c>
      <c r="C54" s="29">
        <v>1280</v>
      </c>
    </row>
    <row r="55" spans="1:8" ht="32" x14ac:dyDescent="0.2">
      <c r="A55" s="6" t="s">
        <v>71</v>
      </c>
      <c r="B55" s="6" t="s">
        <v>72</v>
      </c>
      <c r="C55" s="29">
        <v>0</v>
      </c>
    </row>
    <row r="56" spans="1:8" ht="13.5" customHeight="1" x14ac:dyDescent="0.2">
      <c r="A56" s="6" t="s">
        <v>73</v>
      </c>
      <c r="B56" s="6" t="s">
        <v>74</v>
      </c>
      <c r="C56" s="29">
        <v>0</v>
      </c>
    </row>
    <row r="57" spans="1:8" ht="13.5" customHeight="1" x14ac:dyDescent="0.2">
      <c r="A57" s="6" t="s">
        <v>75</v>
      </c>
      <c r="B57" s="6"/>
      <c r="C57" s="29">
        <v>55</v>
      </c>
    </row>
    <row r="58" spans="1:8" ht="13.5" customHeight="1" x14ac:dyDescent="0.2">
      <c r="A58" s="7" t="s">
        <v>76</v>
      </c>
      <c r="B58" s="56" t="s">
        <v>163</v>
      </c>
      <c r="C58" s="19">
        <v>4</v>
      </c>
    </row>
    <row r="59" spans="1:8" ht="13.5" customHeight="1" x14ac:dyDescent="0.2">
      <c r="A59" s="7"/>
      <c r="B59" s="7" t="s">
        <v>78</v>
      </c>
      <c r="C59" s="39">
        <f>SUM(C53:C58)</f>
        <v>1339</v>
      </c>
    </row>
    <row r="60" spans="1:8" ht="13.5" customHeight="1" x14ac:dyDescent="0.2">
      <c r="A60" s="72" t="s">
        <v>79</v>
      </c>
      <c r="B60" s="72"/>
      <c r="C60" s="72"/>
    </row>
    <row r="61" spans="1:8" ht="13.5" customHeight="1" x14ac:dyDescent="0.2">
      <c r="A61" s="7" t="s">
        <v>24</v>
      </c>
      <c r="B61" s="7"/>
      <c r="C61" s="19">
        <v>0</v>
      </c>
    </row>
    <row r="62" spans="1:8" ht="13.5" customHeight="1" x14ac:dyDescent="0.2">
      <c r="A62" s="7" t="s">
        <v>80</v>
      </c>
      <c r="B62" s="7"/>
      <c r="C62" s="19">
        <v>0</v>
      </c>
    </row>
    <row r="63" spans="1:8" ht="13.5" customHeight="1" x14ac:dyDescent="0.2">
      <c r="A63" s="7"/>
      <c r="B63" s="7" t="s">
        <v>81</v>
      </c>
      <c r="C63" s="19">
        <f>SUM(C61:C62)</f>
        <v>0</v>
      </c>
    </row>
    <row r="64" spans="1:8" ht="13.5" customHeight="1" x14ac:dyDescent="0.2">
      <c r="A64" s="6"/>
      <c r="B64" s="34" t="s">
        <v>82</v>
      </c>
      <c r="C64" s="41">
        <f>C34+C41+C45+C48+C51+C59</f>
        <v>1555</v>
      </c>
      <c r="H64" s="42"/>
    </row>
    <row r="65" spans="1:5" ht="13.5" customHeight="1" x14ac:dyDescent="0.2">
      <c r="A65" s="24"/>
      <c r="B65" s="24"/>
    </row>
    <row r="66" spans="1:5" ht="13.5" customHeight="1" x14ac:dyDescent="0.2">
      <c r="A66" s="24"/>
      <c r="B66" s="24"/>
    </row>
    <row r="67" spans="1:5" ht="13.5" customHeight="1" x14ac:dyDescent="0.2">
      <c r="A67" s="73" t="s">
        <v>155</v>
      </c>
      <c r="B67" s="73"/>
      <c r="C67" s="73"/>
      <c r="D67" s="73"/>
      <c r="E67" s="73"/>
    </row>
    <row r="68" spans="1:5" ht="13.5" customHeight="1" x14ac:dyDescent="0.2">
      <c r="A68" s="74" t="s">
        <v>83</v>
      </c>
      <c r="B68" s="74"/>
      <c r="C68" s="74" t="s">
        <v>11</v>
      </c>
      <c r="D68" s="74"/>
      <c r="E68" s="44" t="s">
        <v>12</v>
      </c>
    </row>
    <row r="69" spans="1:5" ht="24" customHeight="1" x14ac:dyDescent="0.2">
      <c r="A69" s="75" t="s">
        <v>160</v>
      </c>
      <c r="B69" s="75"/>
      <c r="C69" s="76"/>
      <c r="D69" s="76"/>
      <c r="E69" s="47">
        <f>'July 2026- September 2026'!E102</f>
        <v>561.40000000000055</v>
      </c>
    </row>
    <row r="70" spans="1:5" ht="48" customHeight="1" x14ac:dyDescent="0.2">
      <c r="A70" s="77" t="s">
        <v>67</v>
      </c>
      <c r="B70" s="77"/>
      <c r="C70" s="78" t="s">
        <v>168</v>
      </c>
      <c r="D70" s="78"/>
      <c r="E70" s="45">
        <v>350</v>
      </c>
    </row>
    <row r="71" spans="1:5" ht="47" customHeight="1" x14ac:dyDescent="0.2">
      <c r="A71" s="77"/>
      <c r="B71" s="77"/>
      <c r="C71" s="79" t="s">
        <v>162</v>
      </c>
      <c r="D71" s="80"/>
      <c r="E71" s="45">
        <v>0</v>
      </c>
    </row>
    <row r="72" spans="1:5" ht="23" customHeight="1" x14ac:dyDescent="0.2">
      <c r="A72" s="77"/>
      <c r="B72" s="77"/>
      <c r="C72" s="79"/>
      <c r="D72" s="81"/>
      <c r="E72" s="45">
        <v>0</v>
      </c>
    </row>
    <row r="73" spans="1:5" ht="20" customHeight="1" x14ac:dyDescent="0.2">
      <c r="A73" s="77" t="s">
        <v>95</v>
      </c>
      <c r="B73" s="77"/>
      <c r="C73" s="82"/>
      <c r="D73" s="82"/>
      <c r="E73" s="46">
        <f>C64</f>
        <v>1555</v>
      </c>
    </row>
    <row r="74" spans="1:5" ht="22" customHeight="1" x14ac:dyDescent="0.2">
      <c r="C74" s="83" t="s">
        <v>96</v>
      </c>
      <c r="D74" s="83"/>
      <c r="E74" s="47">
        <f>(E14+E69)-SUM(E70:E73)</f>
        <v>1141.4000000000005</v>
      </c>
    </row>
    <row r="75" spans="1:5" ht="27" customHeight="1" x14ac:dyDescent="0.2"/>
    <row r="76" spans="1:5" ht="13.5" customHeight="1" x14ac:dyDescent="0.2">
      <c r="A76" s="73" t="s">
        <v>156</v>
      </c>
      <c r="B76" s="73"/>
      <c r="C76" s="73"/>
      <c r="D76" s="73"/>
      <c r="E76" s="73"/>
    </row>
    <row r="77" spans="1:5" ht="13.5" customHeight="1" x14ac:dyDescent="0.2">
      <c r="A77" s="73" t="s">
        <v>83</v>
      </c>
      <c r="B77" s="73"/>
      <c r="C77" s="73" t="s">
        <v>11</v>
      </c>
      <c r="D77" s="73"/>
      <c r="E77" s="43" t="s">
        <v>12</v>
      </c>
    </row>
    <row r="78" spans="1:5" ht="23" customHeight="1" x14ac:dyDescent="0.2">
      <c r="A78" s="75" t="s">
        <v>148</v>
      </c>
      <c r="B78" s="75"/>
      <c r="C78" s="84"/>
      <c r="D78" s="84"/>
      <c r="E78" s="47">
        <f>E74</f>
        <v>1141.4000000000005</v>
      </c>
    </row>
    <row r="79" spans="1:5" ht="30" customHeight="1" x14ac:dyDescent="0.2">
      <c r="A79" s="92" t="s">
        <v>67</v>
      </c>
      <c r="B79" s="93"/>
      <c r="C79" s="85"/>
      <c r="D79" s="86"/>
      <c r="E79" s="48">
        <v>0</v>
      </c>
    </row>
    <row r="80" spans="1:5" ht="39" customHeight="1" x14ac:dyDescent="0.2">
      <c r="A80" s="94"/>
      <c r="B80" s="95"/>
      <c r="C80" s="78" t="s">
        <v>162</v>
      </c>
      <c r="D80" s="78"/>
      <c r="E80" s="48">
        <v>0</v>
      </c>
    </row>
    <row r="81" spans="1:5" ht="22" customHeight="1" x14ac:dyDescent="0.2">
      <c r="A81" s="94"/>
      <c r="B81" s="95"/>
      <c r="C81" s="89"/>
      <c r="D81" s="90"/>
      <c r="E81" s="48">
        <v>0</v>
      </c>
    </row>
    <row r="82" spans="1:5" ht="24" customHeight="1" x14ac:dyDescent="0.2">
      <c r="A82" s="94"/>
      <c r="B82" s="95"/>
      <c r="C82" s="85"/>
      <c r="D82" s="91"/>
      <c r="E82" s="48">
        <v>0</v>
      </c>
    </row>
    <row r="83" spans="1:5" ht="24" customHeight="1" x14ac:dyDescent="0.2">
      <c r="A83" s="96"/>
      <c r="B83" s="97"/>
      <c r="C83" s="89"/>
      <c r="D83" s="90"/>
      <c r="E83" s="55">
        <v>0</v>
      </c>
    </row>
    <row r="84" spans="1:5" ht="19.5" customHeight="1" x14ac:dyDescent="0.2">
      <c r="A84" s="76" t="s">
        <v>95</v>
      </c>
      <c r="B84" s="76"/>
      <c r="C84" s="84"/>
      <c r="D84" s="84"/>
      <c r="E84" s="45">
        <f>C64</f>
        <v>1555</v>
      </c>
    </row>
    <row r="85" spans="1:5" ht="13.5" customHeight="1" x14ac:dyDescent="0.2">
      <c r="C85" s="87" t="s">
        <v>96</v>
      </c>
      <c r="D85" s="87"/>
      <c r="E85" s="47">
        <f>(E20+E78)-SUM(E79:E84)</f>
        <v>2071.4000000000005</v>
      </c>
    </row>
    <row r="86" spans="1:5" ht="13.5" customHeight="1" x14ac:dyDescent="0.2">
      <c r="A86" s="49"/>
      <c r="B86" s="49"/>
      <c r="C86" s="49"/>
      <c r="D86" s="49"/>
      <c r="E86" s="49"/>
    </row>
    <row r="87" spans="1:5" ht="13.5" customHeight="1" x14ac:dyDescent="0.2">
      <c r="A87" s="49"/>
      <c r="B87" s="49"/>
      <c r="C87" s="49"/>
      <c r="D87" s="49"/>
      <c r="E87" s="49"/>
    </row>
    <row r="88" spans="1:5" ht="22" customHeight="1" x14ac:dyDescent="0.2">
      <c r="A88" s="88" t="s">
        <v>159</v>
      </c>
      <c r="B88" s="88"/>
      <c r="C88" s="88"/>
      <c r="D88" s="88"/>
      <c r="E88" s="88"/>
    </row>
    <row r="89" spans="1:5" ht="13.5" customHeight="1" x14ac:dyDescent="0.2">
      <c r="A89" s="73" t="s">
        <v>83</v>
      </c>
      <c r="B89" s="73"/>
      <c r="C89" s="73" t="s">
        <v>11</v>
      </c>
      <c r="D89" s="73"/>
      <c r="E89" s="43" t="s">
        <v>12</v>
      </c>
    </row>
    <row r="90" spans="1:5" ht="25" customHeight="1" x14ac:dyDescent="0.2">
      <c r="A90" s="75" t="s">
        <v>157</v>
      </c>
      <c r="B90" s="75"/>
      <c r="C90" s="84"/>
      <c r="D90" s="84"/>
      <c r="E90" s="47">
        <f>E85</f>
        <v>2071.4000000000005</v>
      </c>
    </row>
    <row r="91" spans="1:5" ht="23" customHeight="1" x14ac:dyDescent="0.2">
      <c r="A91" s="92" t="s">
        <v>67</v>
      </c>
      <c r="B91" s="93"/>
      <c r="C91" s="98"/>
      <c r="D91" s="99"/>
      <c r="E91" s="45">
        <v>0</v>
      </c>
    </row>
    <row r="92" spans="1:5" ht="43" customHeight="1" x14ac:dyDescent="0.2">
      <c r="A92" s="94"/>
      <c r="B92" s="95"/>
      <c r="C92" s="98" t="s">
        <v>162</v>
      </c>
      <c r="D92" s="99"/>
      <c r="E92" s="45">
        <v>0</v>
      </c>
    </row>
    <row r="93" spans="1:5" ht="20" customHeight="1" x14ac:dyDescent="0.2">
      <c r="A93" s="96"/>
      <c r="B93" s="97"/>
      <c r="C93" s="98"/>
      <c r="D93" s="99"/>
      <c r="E93" s="45">
        <v>0</v>
      </c>
    </row>
    <row r="94" spans="1:5" ht="22" customHeight="1" x14ac:dyDescent="0.2">
      <c r="A94" s="76" t="s">
        <v>95</v>
      </c>
      <c r="B94" s="76"/>
      <c r="C94" s="84"/>
      <c r="D94" s="84"/>
      <c r="E94" s="45">
        <f>C64</f>
        <v>1555</v>
      </c>
    </row>
    <row r="95" spans="1:5" ht="19" customHeight="1" x14ac:dyDescent="0.2">
      <c r="C95" s="87" t="s">
        <v>96</v>
      </c>
      <c r="D95" s="87"/>
      <c r="E95" s="47">
        <f>(E26+E90)-SUM(E91:E94)</f>
        <v>3001.4000000000005</v>
      </c>
    </row>
    <row r="96" spans="1:5" ht="13.5" customHeight="1" x14ac:dyDescent="0.2">
      <c r="A96" s="24"/>
      <c r="B96" s="24"/>
    </row>
    <row r="97" spans="1:2" ht="13.5" customHeight="1" x14ac:dyDescent="0.2">
      <c r="A97" s="24"/>
      <c r="B97" s="24"/>
    </row>
    <row r="98" spans="1:2" ht="13.5" customHeight="1" x14ac:dyDescent="0.2">
      <c r="A98" s="24"/>
      <c r="B98" s="24"/>
    </row>
    <row r="99" spans="1:2" ht="13.5" customHeight="1" x14ac:dyDescent="0.2">
      <c r="A99" s="24"/>
      <c r="B99" s="24"/>
    </row>
    <row r="100" spans="1:2" ht="13.5" customHeight="1" x14ac:dyDescent="0.2">
      <c r="A100" s="24"/>
      <c r="B100" s="24"/>
    </row>
    <row r="101" spans="1:2" ht="13.5" customHeight="1" x14ac:dyDescent="0.2">
      <c r="A101" s="24"/>
      <c r="B101" s="24"/>
    </row>
    <row r="102" spans="1:2" ht="13.5" customHeight="1" x14ac:dyDescent="0.2">
      <c r="A102" s="24"/>
      <c r="B102" s="24"/>
    </row>
    <row r="103" spans="1:2" ht="13.5" customHeight="1" x14ac:dyDescent="0.2">
      <c r="A103" s="24"/>
      <c r="B103" s="24"/>
    </row>
    <row r="104" spans="1:2" ht="13.5" customHeight="1" x14ac:dyDescent="0.2">
      <c r="A104" s="24"/>
      <c r="B104" s="24"/>
    </row>
    <row r="105" spans="1:2" ht="13.5" customHeight="1" x14ac:dyDescent="0.2">
      <c r="A105" s="24"/>
      <c r="B105" s="24"/>
    </row>
    <row r="106" spans="1:2" ht="13.5" customHeight="1" x14ac:dyDescent="0.2">
      <c r="A106" s="24"/>
      <c r="B106" s="24"/>
    </row>
    <row r="107" spans="1:2" ht="13.5" customHeight="1" x14ac:dyDescent="0.2">
      <c r="A107" s="24"/>
      <c r="B107" s="24"/>
    </row>
    <row r="108" spans="1:2" ht="13.5" customHeight="1" x14ac:dyDescent="0.2">
      <c r="A108" s="24"/>
      <c r="B108" s="24"/>
    </row>
    <row r="109" spans="1:2" ht="13.5" customHeight="1" x14ac:dyDescent="0.2">
      <c r="A109" s="24"/>
      <c r="B109" s="24"/>
    </row>
    <row r="110" spans="1:2" ht="13.5" customHeight="1" x14ac:dyDescent="0.2">
      <c r="A110" s="24"/>
      <c r="B110" s="24"/>
    </row>
    <row r="111" spans="1:2" ht="13.5" customHeight="1" x14ac:dyDescent="0.2">
      <c r="A111" s="24"/>
      <c r="B111" s="24"/>
    </row>
    <row r="112" spans="1:2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</sheetData>
  <mergeCells count="59">
    <mergeCell ref="A94:B94"/>
    <mergeCell ref="C94:D94"/>
    <mergeCell ref="C95:D95"/>
    <mergeCell ref="A90:B90"/>
    <mergeCell ref="C90:D90"/>
    <mergeCell ref="A91:B93"/>
    <mergeCell ref="C91:D91"/>
    <mergeCell ref="C92:D92"/>
    <mergeCell ref="C93:D93"/>
    <mergeCell ref="A84:B84"/>
    <mergeCell ref="C84:D84"/>
    <mergeCell ref="C85:D85"/>
    <mergeCell ref="A88:E88"/>
    <mergeCell ref="A89:B89"/>
    <mergeCell ref="C89:D89"/>
    <mergeCell ref="A79:B83"/>
    <mergeCell ref="C79:D79"/>
    <mergeCell ref="C80:D80"/>
    <mergeCell ref="C81:D81"/>
    <mergeCell ref="C82:D82"/>
    <mergeCell ref="C83:D83"/>
    <mergeCell ref="C74:D74"/>
    <mergeCell ref="A76:E76"/>
    <mergeCell ref="A77:B77"/>
    <mergeCell ref="C77:D77"/>
    <mergeCell ref="A78:B78"/>
    <mergeCell ref="C78:D78"/>
    <mergeCell ref="A70:B72"/>
    <mergeCell ref="C70:D70"/>
    <mergeCell ref="C71:D71"/>
    <mergeCell ref="C72:D72"/>
    <mergeCell ref="A73:B73"/>
    <mergeCell ref="C73:D73"/>
    <mergeCell ref="A60:C60"/>
    <mergeCell ref="A67:E67"/>
    <mergeCell ref="A68:B68"/>
    <mergeCell ref="C68:D68"/>
    <mergeCell ref="A69:B69"/>
    <mergeCell ref="C69:D69"/>
    <mergeCell ref="A52:C52"/>
    <mergeCell ref="A22:E22"/>
    <mergeCell ref="C23:D23"/>
    <mergeCell ref="C24:D24"/>
    <mergeCell ref="C25:D25"/>
    <mergeCell ref="A28:C28"/>
    <mergeCell ref="A30:C30"/>
    <mergeCell ref="A35:C36"/>
    <mergeCell ref="A42:C42"/>
    <mergeCell ref="A46:C46"/>
    <mergeCell ref="A49:C49"/>
    <mergeCell ref="A16:E16"/>
    <mergeCell ref="C17:D17"/>
    <mergeCell ref="C18:D18"/>
    <mergeCell ref="C19:D19"/>
    <mergeCell ref="A1:E1"/>
    <mergeCell ref="A10:E10"/>
    <mergeCell ref="C11:D11"/>
    <mergeCell ref="C12:D12"/>
    <mergeCell ref="C13:D13"/>
  </mergeCells>
  <conditionalFormatting sqref="C7:C8 E69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4 E78 E85 E90 E95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2026-09-21T06:08:46Z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