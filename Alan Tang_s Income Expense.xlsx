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EC57A332-2D1C-8340-A0A0-7C8FE2FD5B63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<sst xmlns="http://schemas.openxmlformats.org/spreadsheetml/2006/main" count="416" uniqueCount="172">
  <si>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</si>
  <si>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</si>
  <si>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</si>
  <si>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</si>
  <si>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</si>
  <si>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</si>
  <si>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</si>
  <si>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</si>
  <si>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</si>
  <si>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</si>
  <si>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</si>
  <si>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</si>
  <si>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</si>
  <si>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</si>
  <si>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</si>
  <si>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</si>
  <si>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</si>
  <si>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</si>
  <si>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</si>
  <si>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</si>
  <si>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</si>
  <si>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</si>
  <si>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</si>
  <si>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</si>
  <si>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</si>
  <si>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</si>
  <si>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</si>
  <si>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</si>
  <si>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</si>
  <si>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</si>
  <si>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</si>
  <si>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</si>
  <si>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</si>
  <si>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</si>
  <si>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</si>
  <si>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</si>
  <si>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</si>
  <si>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</si>
  <si>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</si>
  <si>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</si>
  <si>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</si>
  <si>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</si>
  <si>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</si>
  <si>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</si>
  <si>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</si>
  <si>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</si>
  <si>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</si>
  <si>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</si>
  <si>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</si>
  <si>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</si>
  <si>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</si>
  <si>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</si>
  <si>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</si>
  <si>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</si>
  <si>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</si>
  <si>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</si>
  <si>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</si>
  <si>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</si>
  <si>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</si>
  <si>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</si>
  <si>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</si>
  <si>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</si>
  <si>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</si>
  <si>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</si>
  <si>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</si>
  <si>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</si>
  <si>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</si>
  <si>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</si>
  <si>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</si>
  <si>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</si>
  <si>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</si>
  <si>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</si>
  <si>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</si>
  <si>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</si>
  <si>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</si>
  <si>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</si>
  <si>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</si>
  <si>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</si>
  <si>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</si>
  <si>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</si>
  <si>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</si>
  <si>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</si>
  <si>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</si>
  <si>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</si>
  <si>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</si>
  <si>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</si>
  <si>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</si>
  <si>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</si>
  <si>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</si>
  <si>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</si>
  <si>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</si>
  <si>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</si>
  <si>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</si>
  <si>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</si>
  <si>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</si>
  <si>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</si>
  <si>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</si>
  <si>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</si>
  <si>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</si>
  <si>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</si>
  <si>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</si>
  <si>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</si>
  <si>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</si>
  <si>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</si>
  <si>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</si>
  <si>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</si>
  <si>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</si>
  <si>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</si>
  <si>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</si>
  <si>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</si>
  <si>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</si>
  <si>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</si>
  <si>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</si>
  <si>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</si>
  <si>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</si>
  <si>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</si>
  <si>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</si>
  <si>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</si>
  <si>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</si>
  <si>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</si>
  <si>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</si>
  <si>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</si>
  <si>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</si>
  <si>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</si>
  <si>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</si>
  <si>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</si>
  <si>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</si>
  <si>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</si>
  <si>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</si>
  <si>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</si>
  <si>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</si>
  <si>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</si>
  <si>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</si>
  <si>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</si>
  <si>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</si>
  <si>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</si>
  <si>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</si>
  <si>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</si>
  <si>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</si>
  <si>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</si>
  <si>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</si>
  <si>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</si>
  <si>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</si>
  <si>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</si>
  <si>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</si>
  <si>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</si>
  <si>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</si>
  <si>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</si>
  <si>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</si>
  <si>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</si>
  <si>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</si>
  <si>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</si>
  <si>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</si>
  <si>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</si>
  <si>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</si>
  <si>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</si>
  <si>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</si>
  <si>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</si>
  <si>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</si>
  <si>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</si>
  <si>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</si>
  <si>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</si>
  <si>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</si>
  <si>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</si>
  <si>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</si>
  <si>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</si>
  <si>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</si>
  <si>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Partial Food And Snack Prepaid on the Previous Month
~ Food
   ~ HKTV mall 18/09 - $339.9
~ Snack And Drinks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</si>
  <si>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</si>
  <si>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</si>
  <si>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</si>
  <si>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~ Additional fees for cigarette (change from e-cigarette to cigarette) 18/09 - $380
~ OK Store buy additional 1 packet cigarette 18/09 - $78
~ Round Trip to East Kowloon hospital 02/10 - $4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</si>
</sst>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6" fontId="14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6" sqref="D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1511.6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1509.3999999999999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60" t="s">
        <v>15</v>
      </c>
      <c r="D12" s="6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61" t="s">
        <v>17</v>
      </c>
      <c r="D13" s="61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63" t="s">
        <v>25</v>
      </c>
      <c r="D17" s="63"/>
      <c r="E17" s="21">
        <v>187.6</v>
      </c>
    </row>
    <row r="18" spans="1:25" ht="29.25" customHeight="1" x14ac:dyDescent="0.2">
      <c r="A18" s="22"/>
      <c r="B18" s="6" t="s">
        <v>16</v>
      </c>
      <c r="C18" s="64" t="s">
        <v>26</v>
      </c>
      <c r="D18" s="6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65" t="s">
        <v>29</v>
      </c>
      <c r="D19" s="65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6" t="s">
        <v>31</v>
      </c>
      <c r="B22" s="66"/>
      <c r="C22" s="66"/>
      <c r="D22" s="66"/>
      <c r="E22" s="6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67" t="s">
        <v>11</v>
      </c>
      <c r="D23" s="6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8" t="s">
        <v>114</v>
      </c>
      <c r="D26" s="6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64" t="s">
        <v>35</v>
      </c>
      <c r="D27" s="64"/>
      <c r="E27" s="19">
        <v>205</v>
      </c>
    </row>
    <row r="28" spans="1:25" ht="60.75" customHeight="1" x14ac:dyDescent="0.2">
      <c r="A28" s="30"/>
      <c r="B28" s="6" t="s">
        <v>28</v>
      </c>
      <c r="C28" s="69" t="s">
        <v>36</v>
      </c>
      <c r="D28" s="69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6" t="s">
        <v>37</v>
      </c>
      <c r="B31" s="66"/>
      <c r="C31" s="66"/>
      <c r="D31" s="66"/>
      <c r="E31" s="6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70" t="s">
        <v>11</v>
      </c>
      <c r="D32" s="70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71" t="s">
        <v>118</v>
      </c>
      <c r="D35" s="72"/>
      <c r="E35" s="33">
        <v>170</v>
      </c>
    </row>
    <row r="36" spans="1:5" ht="42.75" customHeight="1" x14ac:dyDescent="0.2">
      <c r="A36" s="30"/>
      <c r="B36" s="50" t="s">
        <v>80</v>
      </c>
      <c r="C36" s="71" t="s">
        <v>115</v>
      </c>
      <c r="D36" s="73"/>
      <c r="E36" s="33">
        <v>800</v>
      </c>
    </row>
    <row r="37" spans="1:5" ht="33.75" customHeight="1" x14ac:dyDescent="0.2">
      <c r="A37" s="6"/>
      <c r="B37" s="50" t="s">
        <v>28</v>
      </c>
      <c r="C37" s="68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4" t="s">
        <v>40</v>
      </c>
      <c r="B40" s="74"/>
      <c r="C40" s="74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5" t="s">
        <v>41</v>
      </c>
      <c r="B42" s="75"/>
      <c r="C42" s="75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6" t="s">
        <v>47</v>
      </c>
      <c r="B47" s="76"/>
      <c r="C47" s="76"/>
    </row>
    <row r="48" spans="1:5" ht="13.5" customHeight="1" x14ac:dyDescent="0.2">
      <c r="A48" s="76"/>
      <c r="B48" s="76"/>
      <c r="C48" s="7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5" t="s">
        <v>53</v>
      </c>
      <c r="B54" s="75"/>
      <c r="C54" s="75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5" t="s">
        <v>59</v>
      </c>
      <c r="B58" s="75"/>
      <c r="C58" s="75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5" t="s">
        <v>63</v>
      </c>
      <c r="B61" s="75"/>
      <c r="C61" s="75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7" t="s">
        <v>67</v>
      </c>
      <c r="B64" s="77"/>
      <c r="C64" s="77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7" t="s">
        <v>79</v>
      </c>
      <c r="B72" s="77"/>
      <c r="C72" s="77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8" t="s">
        <v>125</v>
      </c>
      <c r="B79" s="78"/>
      <c r="C79" s="78"/>
      <c r="D79" s="78"/>
      <c r="E79" s="78"/>
    </row>
    <row r="80" spans="1:8" ht="13.5" customHeight="1" x14ac:dyDescent="0.2">
      <c r="A80" s="79" t="s">
        <v>83</v>
      </c>
      <c r="B80" s="79"/>
      <c r="C80" s="79" t="s">
        <v>11</v>
      </c>
      <c r="D80" s="79"/>
      <c r="E80" s="44" t="s">
        <v>12</v>
      </c>
    </row>
    <row r="81" spans="1:5" ht="24" customHeight="1" x14ac:dyDescent="0.2">
      <c r="A81" s="80" t="s">
        <v>84</v>
      </c>
      <c r="B81" s="80"/>
      <c r="C81" s="81"/>
      <c r="D81" s="81"/>
      <c r="E81" s="7">
        <v>21.98</v>
      </c>
    </row>
    <row r="82" spans="1:5" x14ac:dyDescent="0.2">
      <c r="A82" s="81" t="s">
        <v>67</v>
      </c>
      <c r="B82" s="81"/>
      <c r="C82" s="82" t="s">
        <v>85</v>
      </c>
      <c r="D82" s="82"/>
      <c r="E82" s="45">
        <v>168</v>
      </c>
    </row>
    <row r="83" spans="1:5" ht="220.5" customHeight="1" x14ac:dyDescent="0.2">
      <c r="A83" s="81"/>
      <c r="B83" s="81"/>
      <c r="C83" s="82" t="s">
        <v>86</v>
      </c>
      <c r="D83" s="82"/>
      <c r="E83" s="45">
        <v>507.7</v>
      </c>
    </row>
    <row r="84" spans="1:5" x14ac:dyDescent="0.2">
      <c r="A84" s="81"/>
      <c r="B84" s="81"/>
      <c r="C84" s="82" t="s">
        <v>87</v>
      </c>
      <c r="D84" s="82"/>
      <c r="E84" s="45">
        <v>1728</v>
      </c>
    </row>
    <row r="85" spans="1:5" ht="17.25" customHeight="1" x14ac:dyDescent="0.2">
      <c r="A85" s="81"/>
      <c r="B85" s="81"/>
      <c r="C85" s="83" t="s">
        <v>88</v>
      </c>
      <c r="D85" s="83"/>
      <c r="E85" s="45">
        <v>50</v>
      </c>
    </row>
    <row r="86" spans="1:5" ht="17.25" customHeight="1" x14ac:dyDescent="0.2">
      <c r="A86" s="81"/>
      <c r="B86" s="81"/>
      <c r="C86" s="84" t="s">
        <v>89</v>
      </c>
      <c r="D86" s="84"/>
      <c r="E86" s="45">
        <v>418</v>
      </c>
    </row>
    <row r="87" spans="1:5" ht="17.25" customHeight="1" x14ac:dyDescent="0.2">
      <c r="A87" s="81"/>
      <c r="B87" s="81"/>
      <c r="C87" s="83" t="s">
        <v>90</v>
      </c>
      <c r="D87" s="83"/>
      <c r="E87" s="45">
        <v>697</v>
      </c>
    </row>
    <row r="88" spans="1:5" ht="42" customHeight="1" x14ac:dyDescent="0.2">
      <c r="A88" s="81"/>
      <c r="B88" s="81"/>
      <c r="C88" s="82" t="s">
        <v>91</v>
      </c>
      <c r="D88" s="82"/>
      <c r="E88" s="45">
        <v>5.4</v>
      </c>
    </row>
    <row r="89" spans="1:5" ht="17.25" customHeight="1" x14ac:dyDescent="0.2">
      <c r="A89" s="81"/>
      <c r="B89" s="81"/>
      <c r="C89" s="84" t="s">
        <v>92</v>
      </c>
      <c r="D89" s="84"/>
      <c r="E89" s="45">
        <v>136</v>
      </c>
    </row>
    <row r="90" spans="1:5" ht="17.25" customHeight="1" x14ac:dyDescent="0.2">
      <c r="A90" s="81"/>
      <c r="B90" s="81"/>
      <c r="C90" s="84" t="s">
        <v>93</v>
      </c>
      <c r="D90" s="84"/>
      <c r="E90" s="45">
        <v>112.3</v>
      </c>
    </row>
    <row r="91" spans="1:5" ht="17.25" customHeight="1" x14ac:dyDescent="0.2">
      <c r="A91" s="81"/>
      <c r="B91" s="81"/>
      <c r="C91" s="85" t="s">
        <v>94</v>
      </c>
      <c r="D91" s="85"/>
      <c r="E91" s="45">
        <v>366.38</v>
      </c>
    </row>
    <row r="92" spans="1:5" ht="13.5" customHeight="1" x14ac:dyDescent="0.2">
      <c r="A92" s="86" t="s">
        <v>95</v>
      </c>
      <c r="B92" s="86"/>
      <c r="C92" s="87"/>
      <c r="D92" s="87"/>
      <c r="E92" s="46">
        <f>C76</f>
        <v>1367</v>
      </c>
    </row>
    <row r="93" spans="1:5" ht="13.5" customHeight="1" x14ac:dyDescent="0.2">
      <c r="C93" s="88" t="s">
        <v>96</v>
      </c>
      <c r="D93" s="8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8" t="s">
        <v>126</v>
      </c>
      <c r="B95" s="78"/>
      <c r="C95" s="78"/>
      <c r="D95" s="78"/>
      <c r="E95" s="78"/>
    </row>
    <row r="96" spans="1:5" ht="13.5" customHeight="1" x14ac:dyDescent="0.2">
      <c r="A96" s="78" t="s">
        <v>83</v>
      </c>
      <c r="B96" s="78"/>
      <c r="C96" s="78" t="s">
        <v>11</v>
      </c>
      <c r="D96" s="78"/>
      <c r="E96" s="43" t="s">
        <v>12</v>
      </c>
    </row>
    <row r="97" spans="1:5" ht="13.5" customHeight="1" x14ac:dyDescent="0.2">
      <c r="A97" s="89" t="s">
        <v>97</v>
      </c>
      <c r="B97" s="89"/>
      <c r="C97" s="90"/>
      <c r="D97" s="90"/>
      <c r="E97" s="47">
        <f>E93</f>
        <v>-31.199999999999818</v>
      </c>
    </row>
    <row r="98" spans="1:5" ht="45.75" customHeight="1" x14ac:dyDescent="0.2">
      <c r="A98" s="81" t="s">
        <v>67</v>
      </c>
      <c r="B98" s="81"/>
      <c r="C98" s="91" t="s">
        <v>98</v>
      </c>
      <c r="D98" s="91"/>
      <c r="E98" s="48">
        <v>747.6</v>
      </c>
    </row>
    <row r="99" spans="1:5" ht="409" customHeight="1" x14ac:dyDescent="0.2">
      <c r="A99" s="81"/>
      <c r="B99" s="81"/>
      <c r="C99" s="92" t="s">
        <v>113</v>
      </c>
      <c r="D99" s="92"/>
      <c r="E99" s="48">
        <v>900.2</v>
      </c>
    </row>
    <row r="100" spans="1:5" ht="73.5" customHeight="1" x14ac:dyDescent="0.2">
      <c r="A100" s="81"/>
      <c r="B100" s="81"/>
      <c r="C100" s="92" t="s">
        <v>111</v>
      </c>
      <c r="D100" s="92"/>
      <c r="E100" s="48">
        <v>656.4</v>
      </c>
    </row>
    <row r="101" spans="1:5" ht="118.5" customHeight="1" x14ac:dyDescent="0.2">
      <c r="A101" s="81"/>
      <c r="B101" s="81"/>
      <c r="C101" s="92" t="s">
        <v>110</v>
      </c>
      <c r="D101" s="92"/>
      <c r="E101" s="48">
        <v>167.4</v>
      </c>
    </row>
    <row r="102" spans="1:5" ht="129.75" customHeight="1" x14ac:dyDescent="0.2">
      <c r="A102" s="81"/>
      <c r="B102" s="81"/>
      <c r="C102" s="93" t="s">
        <v>99</v>
      </c>
      <c r="D102" s="94"/>
      <c r="E102" s="48">
        <v>1109</v>
      </c>
    </row>
    <row r="103" spans="1:5" ht="13.5" customHeight="1" x14ac:dyDescent="0.2">
      <c r="A103" s="81" t="s">
        <v>95</v>
      </c>
      <c r="B103" s="81"/>
      <c r="C103" s="90"/>
      <c r="D103" s="90"/>
      <c r="E103" s="45">
        <f>C76</f>
        <v>1367</v>
      </c>
    </row>
    <row r="104" spans="1:5" ht="13.5" customHeight="1" x14ac:dyDescent="0.2">
      <c r="C104" s="95" t="s">
        <v>96</v>
      </c>
      <c r="D104" s="95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6" t="s">
        <v>127</v>
      </c>
      <c r="B107" s="96"/>
      <c r="C107" s="96"/>
      <c r="D107" s="96"/>
      <c r="E107" s="96"/>
    </row>
    <row r="108" spans="1:5" ht="13.5" customHeight="1" x14ac:dyDescent="0.2">
      <c r="A108" s="78" t="s">
        <v>83</v>
      </c>
      <c r="B108" s="78"/>
      <c r="C108" s="78" t="s">
        <v>11</v>
      </c>
      <c r="D108" s="78"/>
      <c r="E108" s="43" t="s">
        <v>12</v>
      </c>
    </row>
    <row r="109" spans="1:5" ht="13.5" customHeight="1" x14ac:dyDescent="0.2">
      <c r="A109" s="89" t="s">
        <v>100</v>
      </c>
      <c r="B109" s="89"/>
      <c r="C109" s="90"/>
      <c r="D109" s="90"/>
      <c r="E109" s="47">
        <f>E104</f>
        <v>228.5</v>
      </c>
    </row>
    <row r="110" spans="1:5" ht="333" customHeight="1" x14ac:dyDescent="0.2">
      <c r="A110" s="97" t="s">
        <v>67</v>
      </c>
      <c r="B110" s="98"/>
      <c r="C110" s="69" t="s">
        <v>117</v>
      </c>
      <c r="D110" s="69"/>
      <c r="E110" s="45">
        <v>870.3</v>
      </c>
    </row>
    <row r="111" spans="1:5" ht="152" customHeight="1" x14ac:dyDescent="0.2">
      <c r="A111" s="99"/>
      <c r="B111" s="100"/>
      <c r="C111" s="103" t="s">
        <v>116</v>
      </c>
      <c r="D111" s="104"/>
      <c r="E111" s="45">
        <v>1428</v>
      </c>
    </row>
    <row r="112" spans="1:5" ht="151" customHeight="1" x14ac:dyDescent="0.2">
      <c r="A112" s="101"/>
      <c r="B112" s="102"/>
      <c r="C112" s="93" t="s">
        <v>120</v>
      </c>
      <c r="D112" s="94"/>
      <c r="E112" s="45">
        <v>225.5</v>
      </c>
    </row>
    <row r="113" spans="1:5" ht="13.5" customHeight="1" x14ac:dyDescent="0.2">
      <c r="A113" s="81" t="s">
        <v>95</v>
      </c>
      <c r="B113" s="81"/>
      <c r="C113" s="90"/>
      <c r="D113" s="90"/>
      <c r="E113" s="45">
        <f>C76</f>
        <v>1367</v>
      </c>
    </row>
    <row r="114" spans="1:5" ht="13.5" customHeight="1" x14ac:dyDescent="0.2">
      <c r="C114" s="95" t="s">
        <v>96</v>
      </c>
      <c r="D114" s="95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zoomScale="150" zoomScaleNormal="130" workbookViewId="0">
      <selection activeCell="F100" sqref="F100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1511.6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1509.3999999999999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5" t="s">
        <v>15</v>
      </c>
      <c r="D12" s="105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8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6" t="s">
        <v>104</v>
      </c>
      <c r="B17" s="66"/>
      <c r="C17" s="66"/>
      <c r="D17" s="66"/>
      <c r="E17" s="6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70" t="s">
        <v>11</v>
      </c>
      <c r="D18" s="70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71" t="s">
        <v>145</v>
      </c>
      <c r="D20" s="72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06" t="s">
        <v>137</v>
      </c>
      <c r="D21" s="107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71" t="s">
        <v>168</v>
      </c>
      <c r="D22" s="72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71" t="s">
        <v>161</v>
      </c>
      <c r="D23" s="72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66" t="s">
        <v>105</v>
      </c>
      <c r="B26" s="66"/>
      <c r="C26" s="66"/>
      <c r="D26" s="66"/>
      <c r="E26" s="6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70" t="s">
        <v>11</v>
      </c>
      <c r="D27" s="70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62" t="s">
        <v>15</v>
      </c>
      <c r="D28" s="62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62" t="s">
        <v>123</v>
      </c>
      <c r="D29" s="62"/>
      <c r="E29" s="29">
        <v>55</v>
      </c>
    </row>
    <row r="30" spans="1:25" ht="13.5" customHeight="1" x14ac:dyDescent="0.2">
      <c r="A30" s="6"/>
      <c r="B30" s="6"/>
      <c r="C30" s="62"/>
      <c r="D30" s="62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74" t="s">
        <v>106</v>
      </c>
      <c r="B33" s="74"/>
      <c r="C33" s="74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75" t="s">
        <v>41</v>
      </c>
      <c r="B35" s="75"/>
      <c r="C35" s="75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76" t="s">
        <v>47</v>
      </c>
      <c r="B40" s="76"/>
      <c r="C40" s="76"/>
    </row>
    <row r="41" spans="1:4" ht="13.5" customHeight="1" x14ac:dyDescent="0.2">
      <c r="A41" s="76"/>
      <c r="B41" s="76"/>
      <c r="C41" s="76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75" t="s">
        <v>53</v>
      </c>
      <c r="B47" s="75"/>
      <c r="C47" s="75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75" t="s">
        <v>59</v>
      </c>
      <c r="B51" s="75"/>
      <c r="C51" s="75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75" t="s">
        <v>63</v>
      </c>
      <c r="B54" s="75"/>
      <c r="C54" s="75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77" t="s">
        <v>67</v>
      </c>
      <c r="B57" s="77"/>
      <c r="C57" s="77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77" t="s">
        <v>79</v>
      </c>
      <c r="B65" s="77"/>
      <c r="C65" s="77"/>
    </row>
    <row r="66" spans="1:8" ht="13.5" customHeight="1" x14ac:dyDescent="0.2">
      <c r="A66" s="7" t="s">
        <v>24</v>
      </c>
      <c r="B66" s="7"/>
      <c r="C66" s="19">
        <v>100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350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8" t="s">
        <v>128</v>
      </c>
      <c r="B72" s="78"/>
      <c r="C72" s="78"/>
      <c r="D72" s="78"/>
      <c r="E72" s="78"/>
    </row>
    <row r="73" spans="1:8" ht="13.5" customHeight="1" x14ac:dyDescent="0.2">
      <c r="A73" s="79" t="s">
        <v>83</v>
      </c>
      <c r="B73" s="79"/>
      <c r="C73" s="79" t="s">
        <v>11</v>
      </c>
      <c r="D73" s="79"/>
      <c r="E73" s="44" t="s">
        <v>12</v>
      </c>
    </row>
    <row r="74" spans="1:8" ht="24" customHeight="1" x14ac:dyDescent="0.2">
      <c r="A74" s="89" t="s">
        <v>107</v>
      </c>
      <c r="B74" s="89"/>
      <c r="C74" s="81"/>
      <c r="D74" s="81"/>
      <c r="E74" s="47">
        <f>'April 2026 - June 2026'!E114</f>
        <v>110.69999999999982</v>
      </c>
    </row>
    <row r="75" spans="1:8" ht="39" customHeight="1" x14ac:dyDescent="0.2">
      <c r="A75" s="86" t="s">
        <v>67</v>
      </c>
      <c r="B75" s="86"/>
      <c r="C75" s="92" t="s">
        <v>121</v>
      </c>
      <c r="D75" s="92"/>
      <c r="E75" s="45">
        <v>600</v>
      </c>
    </row>
    <row r="76" spans="1:8" ht="259" customHeight="1" x14ac:dyDescent="0.2">
      <c r="A76" s="86"/>
      <c r="B76" s="86"/>
      <c r="C76" s="108" t="s">
        <v>133</v>
      </c>
      <c r="D76" s="91"/>
      <c r="E76" s="45">
        <v>1117.5</v>
      </c>
    </row>
    <row r="77" spans="1:8" ht="146" customHeight="1" x14ac:dyDescent="0.2">
      <c r="A77" s="86"/>
      <c r="B77" s="86"/>
      <c r="C77" s="108" t="s">
        <v>134</v>
      </c>
      <c r="D77" s="84"/>
      <c r="E77" s="45">
        <v>508</v>
      </c>
    </row>
    <row r="78" spans="1:8" ht="13.5" customHeight="1" x14ac:dyDescent="0.2">
      <c r="A78" s="86" t="s">
        <v>95</v>
      </c>
      <c r="B78" s="86"/>
      <c r="C78" s="87"/>
      <c r="D78" s="87"/>
      <c r="E78" s="46">
        <f>C69</f>
        <v>1171</v>
      </c>
    </row>
    <row r="79" spans="1:8" ht="13.5" customHeight="1" x14ac:dyDescent="0.2">
      <c r="C79" s="88" t="s">
        <v>96</v>
      </c>
      <c r="D79" s="8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8" t="s">
        <v>129</v>
      </c>
      <c r="B81" s="78"/>
      <c r="C81" s="78"/>
      <c r="D81" s="78"/>
      <c r="E81" s="78"/>
    </row>
    <row r="82" spans="1:5" ht="13.5" customHeight="1" x14ac:dyDescent="0.2">
      <c r="A82" s="78" t="s">
        <v>83</v>
      </c>
      <c r="B82" s="78"/>
      <c r="C82" s="78" t="s">
        <v>11</v>
      </c>
      <c r="D82" s="78"/>
      <c r="E82" s="43" t="s">
        <v>12</v>
      </c>
    </row>
    <row r="83" spans="1:5" ht="23" customHeight="1" x14ac:dyDescent="0.2">
      <c r="A83" s="89" t="s">
        <v>108</v>
      </c>
      <c r="B83" s="89"/>
      <c r="C83" s="90"/>
      <c r="D83" s="90"/>
      <c r="E83" s="47">
        <f>E79</f>
        <v>24.599999999999909</v>
      </c>
    </row>
    <row r="84" spans="1:5" ht="56" customHeight="1" x14ac:dyDescent="0.2">
      <c r="A84" s="97" t="s">
        <v>67</v>
      </c>
      <c r="B84" s="98"/>
      <c r="C84" s="109" t="s">
        <v>142</v>
      </c>
      <c r="D84" s="110"/>
      <c r="E84" s="48">
        <v>830.4</v>
      </c>
    </row>
    <row r="85" spans="1:5" ht="149" customHeight="1" x14ac:dyDescent="0.2">
      <c r="A85" s="99"/>
      <c r="B85" s="100"/>
      <c r="C85" s="92" t="s">
        <v>146</v>
      </c>
      <c r="D85" s="92"/>
      <c r="E85" s="48">
        <v>721.4</v>
      </c>
    </row>
    <row r="86" spans="1:5" ht="234" customHeight="1" x14ac:dyDescent="0.2">
      <c r="A86" s="99"/>
      <c r="B86" s="100"/>
      <c r="C86" s="93" t="s">
        <v>170</v>
      </c>
      <c r="D86" s="111"/>
      <c r="E86" s="48">
        <v>956.5</v>
      </c>
    </row>
    <row r="87" spans="1:5" ht="40" customHeight="1" x14ac:dyDescent="0.2">
      <c r="A87" s="99"/>
      <c r="B87" s="100"/>
      <c r="C87" s="109" t="s">
        <v>144</v>
      </c>
      <c r="D87" s="112"/>
      <c r="E87" s="48">
        <v>196.54</v>
      </c>
    </row>
    <row r="88" spans="1:5" ht="80" customHeight="1" x14ac:dyDescent="0.2">
      <c r="A88" s="101"/>
      <c r="B88" s="102"/>
      <c r="C88" s="93" t="s">
        <v>143</v>
      </c>
      <c r="D88" s="111"/>
      <c r="E88" s="55">
        <v>426</v>
      </c>
    </row>
    <row r="89" spans="1:5" ht="19.5" customHeight="1" x14ac:dyDescent="0.2">
      <c r="A89" s="81" t="s">
        <v>95</v>
      </c>
      <c r="B89" s="81"/>
      <c r="C89" s="90"/>
      <c r="D89" s="90"/>
      <c r="E89" s="45">
        <f>C69</f>
        <v>1171</v>
      </c>
    </row>
    <row r="90" spans="1:5" ht="13.5" customHeight="1" x14ac:dyDescent="0.2">
      <c r="C90" s="95" t="s">
        <v>96</v>
      </c>
      <c r="D90" s="95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96" t="s">
        <v>130</v>
      </c>
      <c r="B93" s="96"/>
      <c r="C93" s="96"/>
      <c r="D93" s="96"/>
      <c r="E93" s="96"/>
    </row>
    <row r="94" spans="1:5" ht="13.5" customHeight="1" x14ac:dyDescent="0.2">
      <c r="A94" s="78" t="s">
        <v>83</v>
      </c>
      <c r="B94" s="78"/>
      <c r="C94" s="78" t="s">
        <v>11</v>
      </c>
      <c r="D94" s="78"/>
      <c r="E94" s="43" t="s">
        <v>12</v>
      </c>
    </row>
    <row r="95" spans="1:5" ht="25" customHeight="1" x14ac:dyDescent="0.2">
      <c r="A95" s="89" t="s">
        <v>109</v>
      </c>
      <c r="B95" s="89"/>
      <c r="C95" s="90"/>
      <c r="D95" s="90"/>
      <c r="E95" s="47">
        <f>E90</f>
        <v>44.940000000000509</v>
      </c>
    </row>
    <row r="96" spans="1:5" ht="31" customHeight="1" x14ac:dyDescent="0.2">
      <c r="A96" s="97" t="s">
        <v>67</v>
      </c>
      <c r="B96" s="98"/>
      <c r="C96" s="109" t="s">
        <v>166</v>
      </c>
      <c r="D96" s="110"/>
      <c r="E96" s="45">
        <v>250</v>
      </c>
    </row>
    <row r="97" spans="1:5" ht="71" customHeight="1" x14ac:dyDescent="0.2">
      <c r="A97" s="99"/>
      <c r="B97" s="100"/>
      <c r="C97" s="113" t="s">
        <v>167</v>
      </c>
      <c r="D97" s="114"/>
      <c r="E97" s="45">
        <v>339.9</v>
      </c>
    </row>
    <row r="98" spans="1:5" ht="65" customHeight="1" x14ac:dyDescent="0.2">
      <c r="A98" s="99"/>
      <c r="B98" s="100"/>
      <c r="C98" s="113" t="s">
        <v>171</v>
      </c>
      <c r="D98" s="114"/>
      <c r="E98" s="45">
        <v>78</v>
      </c>
    </row>
    <row r="99" spans="1:5" ht="20" customHeight="1" x14ac:dyDescent="0.2">
      <c r="A99" s="101"/>
      <c r="B99" s="102"/>
      <c r="C99" s="113" t="s">
        <v>165</v>
      </c>
      <c r="D99" s="114"/>
      <c r="E99" s="45">
        <v>136.63999999999999</v>
      </c>
    </row>
    <row r="100" spans="1:5" ht="13.5" customHeight="1" x14ac:dyDescent="0.2">
      <c r="A100" s="81" t="s">
        <v>95</v>
      </c>
      <c r="B100" s="81"/>
      <c r="C100" s="90"/>
      <c r="D100" s="90"/>
      <c r="E100" s="45">
        <f>C69</f>
        <v>1171</v>
      </c>
    </row>
    <row r="101" spans="1:5" ht="13.5" customHeight="1" x14ac:dyDescent="0.2">
      <c r="C101" s="95" t="s">
        <v>96</v>
      </c>
      <c r="D101" s="95"/>
      <c r="E101" s="47">
        <f>(E31+E95)-SUM(E96:E100)</f>
        <v>609.40000000000055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20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149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1511.6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1509.3999999999999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105" t="s">
        <v>15</v>
      </c>
      <c r="D12" s="105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6" t="s">
        <v>153</v>
      </c>
      <c r="B16" s="66"/>
      <c r="C16" s="66"/>
      <c r="D16" s="66"/>
      <c r="E16" s="6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70" t="s">
        <v>11</v>
      </c>
      <c r="D17" s="70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106"/>
      <c r="D19" s="107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6" t="s">
        <v>158</v>
      </c>
      <c r="B22" s="66"/>
      <c r="C22" s="66"/>
      <c r="D22" s="66"/>
      <c r="E22" s="6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70" t="s">
        <v>11</v>
      </c>
      <c r="D23" s="70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4" t="s">
        <v>151</v>
      </c>
      <c r="B28" s="74"/>
      <c r="C28" s="74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5" t="s">
        <v>41</v>
      </c>
      <c r="B30" s="75"/>
      <c r="C30" s="75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6" t="s">
        <v>47</v>
      </c>
      <c r="B35" s="76"/>
      <c r="C35" s="76"/>
    </row>
    <row r="36" spans="1:3" ht="13.5" customHeight="1" x14ac:dyDescent="0.2">
      <c r="A36" s="76"/>
      <c r="B36" s="76"/>
      <c r="C36" s="76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5" t="s">
        <v>53</v>
      </c>
      <c r="B42" s="75"/>
      <c r="C42" s="75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5" t="s">
        <v>59</v>
      </c>
      <c r="B46" s="75"/>
      <c r="C46" s="75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5" t="s">
        <v>63</v>
      </c>
      <c r="B49" s="75"/>
      <c r="C49" s="75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7" t="s">
        <v>67</v>
      </c>
      <c r="B52" s="77"/>
      <c r="C52" s="77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7" t="s">
        <v>79</v>
      </c>
      <c r="B60" s="77"/>
      <c r="C60" s="77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8" t="s">
        <v>155</v>
      </c>
      <c r="B67" s="78"/>
      <c r="C67" s="78"/>
      <c r="D67" s="78"/>
      <c r="E67" s="78"/>
    </row>
    <row r="68" spans="1:5" ht="13.5" customHeight="1" x14ac:dyDescent="0.2">
      <c r="A68" s="79" t="s">
        <v>83</v>
      </c>
      <c r="B68" s="79"/>
      <c r="C68" s="79" t="s">
        <v>11</v>
      </c>
      <c r="D68" s="79"/>
      <c r="E68" s="44" t="s">
        <v>12</v>
      </c>
    </row>
    <row r="69" spans="1:5" ht="24" customHeight="1" x14ac:dyDescent="0.2">
      <c r="A69" s="89" t="s">
        <v>160</v>
      </c>
      <c r="B69" s="89"/>
      <c r="C69" s="81"/>
      <c r="D69" s="81"/>
      <c r="E69" s="47">
        <f>'July 2026- September 2026'!E101</f>
        <v>609.40000000000055</v>
      </c>
    </row>
    <row r="70" spans="1:5" ht="48" customHeight="1" x14ac:dyDescent="0.2">
      <c r="A70" s="86" t="s">
        <v>67</v>
      </c>
      <c r="B70" s="86"/>
      <c r="C70" s="92" t="s">
        <v>169</v>
      </c>
      <c r="D70" s="92"/>
      <c r="E70" s="45">
        <v>350</v>
      </c>
    </row>
    <row r="71" spans="1:5" ht="47" customHeight="1" x14ac:dyDescent="0.2">
      <c r="A71" s="86"/>
      <c r="B71" s="86"/>
      <c r="C71" s="108" t="s">
        <v>162</v>
      </c>
      <c r="D71" s="91"/>
      <c r="E71" s="45">
        <v>0</v>
      </c>
    </row>
    <row r="72" spans="1:5" ht="23" customHeight="1" x14ac:dyDescent="0.2">
      <c r="A72" s="86"/>
      <c r="B72" s="86"/>
      <c r="C72" s="108"/>
      <c r="D72" s="84"/>
      <c r="E72" s="45">
        <v>0</v>
      </c>
    </row>
    <row r="73" spans="1:5" ht="20" customHeight="1" x14ac:dyDescent="0.2">
      <c r="A73" s="86" t="s">
        <v>95</v>
      </c>
      <c r="B73" s="86"/>
      <c r="C73" s="87"/>
      <c r="D73" s="87"/>
      <c r="E73" s="46">
        <f>C64</f>
        <v>1555</v>
      </c>
    </row>
    <row r="74" spans="1:5" ht="22" customHeight="1" x14ac:dyDescent="0.2">
      <c r="C74" s="88" t="s">
        <v>96</v>
      </c>
      <c r="D74" s="88"/>
      <c r="E74" s="47">
        <f>(E14+E69)-SUM(E70:E73)</f>
        <v>1189.4000000000005</v>
      </c>
    </row>
    <row r="75" spans="1:5" ht="27" customHeight="1" x14ac:dyDescent="0.2"/>
    <row r="76" spans="1:5" ht="13.5" customHeight="1" x14ac:dyDescent="0.2">
      <c r="A76" s="78" t="s">
        <v>156</v>
      </c>
      <c r="B76" s="78"/>
      <c r="C76" s="78"/>
      <c r="D76" s="78"/>
      <c r="E76" s="78"/>
    </row>
    <row r="77" spans="1:5" ht="13.5" customHeight="1" x14ac:dyDescent="0.2">
      <c r="A77" s="78" t="s">
        <v>83</v>
      </c>
      <c r="B77" s="78"/>
      <c r="C77" s="78" t="s">
        <v>11</v>
      </c>
      <c r="D77" s="78"/>
      <c r="E77" s="43" t="s">
        <v>12</v>
      </c>
    </row>
    <row r="78" spans="1:5" ht="23" customHeight="1" x14ac:dyDescent="0.2">
      <c r="A78" s="89" t="s">
        <v>148</v>
      </c>
      <c r="B78" s="89"/>
      <c r="C78" s="90"/>
      <c r="D78" s="90"/>
      <c r="E78" s="47">
        <f>E74</f>
        <v>1189.4000000000005</v>
      </c>
    </row>
    <row r="79" spans="1:5" ht="30" customHeight="1" x14ac:dyDescent="0.2">
      <c r="A79" s="97" t="s">
        <v>67</v>
      </c>
      <c r="B79" s="98"/>
      <c r="C79" s="109"/>
      <c r="D79" s="110"/>
      <c r="E79" s="48">
        <v>0</v>
      </c>
    </row>
    <row r="80" spans="1:5" ht="39" customHeight="1" x14ac:dyDescent="0.2">
      <c r="A80" s="99"/>
      <c r="B80" s="100"/>
      <c r="C80" s="92" t="s">
        <v>162</v>
      </c>
      <c r="D80" s="92"/>
      <c r="E80" s="48">
        <v>0</v>
      </c>
    </row>
    <row r="81" spans="1:5" ht="22" customHeight="1" x14ac:dyDescent="0.2">
      <c r="A81" s="99"/>
      <c r="B81" s="100"/>
      <c r="C81" s="93"/>
      <c r="D81" s="111"/>
      <c r="E81" s="48">
        <v>0</v>
      </c>
    </row>
    <row r="82" spans="1:5" ht="24" customHeight="1" x14ac:dyDescent="0.2">
      <c r="A82" s="99"/>
      <c r="B82" s="100"/>
      <c r="C82" s="109"/>
      <c r="D82" s="112"/>
      <c r="E82" s="48">
        <v>0</v>
      </c>
    </row>
    <row r="83" spans="1:5" ht="24" customHeight="1" x14ac:dyDescent="0.2">
      <c r="A83" s="101"/>
      <c r="B83" s="102"/>
      <c r="C83" s="93"/>
      <c r="D83" s="111"/>
      <c r="E83" s="55">
        <v>0</v>
      </c>
    </row>
    <row r="84" spans="1:5" ht="19.5" customHeight="1" x14ac:dyDescent="0.2">
      <c r="A84" s="81" t="s">
        <v>95</v>
      </c>
      <c r="B84" s="81"/>
      <c r="C84" s="90"/>
      <c r="D84" s="90"/>
      <c r="E84" s="45">
        <f>C64</f>
        <v>1555</v>
      </c>
    </row>
    <row r="85" spans="1:5" ht="13.5" customHeight="1" x14ac:dyDescent="0.2">
      <c r="C85" s="95" t="s">
        <v>96</v>
      </c>
      <c r="D85" s="95"/>
      <c r="E85" s="47">
        <f>(E20+E78)-SUM(E79:E84)</f>
        <v>2119.4000000000005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96" t="s">
        <v>159</v>
      </c>
      <c r="B88" s="96"/>
      <c r="C88" s="96"/>
      <c r="D88" s="96"/>
      <c r="E88" s="96"/>
    </row>
    <row r="89" spans="1:5" ht="13.5" customHeight="1" x14ac:dyDescent="0.2">
      <c r="A89" s="78" t="s">
        <v>83</v>
      </c>
      <c r="B89" s="78"/>
      <c r="C89" s="78" t="s">
        <v>11</v>
      </c>
      <c r="D89" s="78"/>
      <c r="E89" s="43" t="s">
        <v>12</v>
      </c>
    </row>
    <row r="90" spans="1:5" ht="25" customHeight="1" x14ac:dyDescent="0.2">
      <c r="A90" s="89" t="s">
        <v>157</v>
      </c>
      <c r="B90" s="89"/>
      <c r="C90" s="90"/>
      <c r="D90" s="90"/>
      <c r="E90" s="47">
        <f>E85</f>
        <v>2119.4000000000005</v>
      </c>
    </row>
    <row r="91" spans="1:5" ht="23" customHeight="1" x14ac:dyDescent="0.2">
      <c r="A91" s="97" t="s">
        <v>67</v>
      </c>
      <c r="B91" s="98"/>
      <c r="C91" s="113"/>
      <c r="D91" s="114"/>
      <c r="E91" s="45">
        <v>0</v>
      </c>
    </row>
    <row r="92" spans="1:5" ht="43" customHeight="1" x14ac:dyDescent="0.2">
      <c r="A92" s="99"/>
      <c r="B92" s="100"/>
      <c r="C92" s="113" t="s">
        <v>162</v>
      </c>
      <c r="D92" s="114"/>
      <c r="E92" s="45">
        <v>0</v>
      </c>
    </row>
    <row r="93" spans="1:5" ht="20" customHeight="1" x14ac:dyDescent="0.2">
      <c r="A93" s="101"/>
      <c r="B93" s="102"/>
      <c r="C93" s="113"/>
      <c r="D93" s="114"/>
      <c r="E93" s="45">
        <v>0</v>
      </c>
    </row>
    <row r="94" spans="1:5" ht="22" customHeight="1" x14ac:dyDescent="0.2">
      <c r="A94" s="81" t="s">
        <v>95</v>
      </c>
      <c r="B94" s="81"/>
      <c r="C94" s="90"/>
      <c r="D94" s="90"/>
      <c r="E94" s="45">
        <f>C64</f>
        <v>1555</v>
      </c>
    </row>
    <row r="95" spans="1:5" ht="19" customHeight="1" x14ac:dyDescent="0.2">
      <c r="C95" s="95" t="s">
        <v>96</v>
      </c>
      <c r="D95" s="95"/>
      <c r="E95" s="47">
        <f>(E26+E90)-SUM(E91:E94)</f>
        <v>3049.4000000000005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2026-09-17T17:24:42Z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