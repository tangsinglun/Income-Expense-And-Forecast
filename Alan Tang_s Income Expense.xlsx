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1280BC04-B72D-3942-9702-A9EEEAC22D68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2" l="1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3" i="2"/>
  <c r="C68" i="2" l="1"/>
  <c r="E77" i="2" s="1"/>
  <c r="E78" i="2" s="1"/>
  <c r="E82" i="2" s="1"/>
  <c r="E88" i="2" l="1"/>
  <c r="E98" i="2"/>
  <c r="E89" i="2"/>
  <c r="E94" i="2" s="1"/>
  <c r="E99" i="2" s="1"/>
</calcChain>
</file>

<file path=xl/sharedStrings.xml><?xml version="1.0" encoding="utf-8"?>
<sst xmlns="http://schemas.openxmlformats.org/spreadsheetml/2006/main" count="298" uniqueCount="152">
  <si>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</si>
  <si>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</si>
  <si>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</si>
  <si>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</si>
  <si>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</si>
  <si>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</si>
  <si>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</si>
  <si>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</si>
  <si>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</si>
  <si>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</si>
  <si>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</si>
  <si>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</si>
  <si>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</si>
  <si>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</si>
  <si>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</si>
  <si>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</si>
  <si>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</si>
  <si>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</si>
  <si>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</si>
  <si>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</si>
  <si>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</si>
  <si>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</si>
  <si>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</si>
  <si>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</si>
  <si>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</si>
  <si>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</si>
  <si>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</si>
  <si>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</si>
  <si>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</si>
  <si>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</si>
  <si>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</si>
  <si>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</si>
  <si>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</si>
  <si>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</si>
  <si>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</si>
  <si>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</si>
  <si>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</si>
  <si>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</si>
  <si>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</si>
  <si>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</si>
  <si>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</si>
  <si>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</si>
  <si>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</si>
  <si>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</si>
  <si>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</si>
  <si>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</si>
  <si>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</si>
  <si>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</si>
  <si>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</si>
  <si>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</si>
  <si>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</si>
  <si>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</si>
  <si>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</si>
  <si>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</si>
  <si>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</si>
  <si>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</si>
  <si>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</si>
  <si>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</si>
  <si>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</si>
  <si>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</si>
  <si>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</si>
  <si>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</si>
  <si>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</si>
  <si>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</si>
  <si>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</si>
  <si>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</si>
  <si>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</si>
  <si>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</si>
  <si>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</si>
  <si>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</si>
  <si>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</si>
  <si>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</si>
  <si>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</si>
  <si>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</si>
  <si>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</si>
  <si>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</si>
  <si>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</si>
  <si>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</si>
  <si>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</si>
  <si>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</si>
  <si>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</si>
  <si>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</si>
  <si>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</si>
  <si>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</si>
  <si>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</si>
  <si>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</si>
  <si>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</si>
  <si>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</si>
  <si>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</si>
  <si>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</si>
  <si>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</si>
  <si>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</si>
  <si>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</si>
  <si>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</si>
  <si>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</si>
  <si>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</si>
  <si>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</si>
  <si>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</si>
  <si>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</si>
  <si>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</si>
  <si>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</si>
  <si>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</si>
  <si>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</si>
  <si>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</si>
  <si>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</si>
  <si>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</si>
  <si>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</si>
  <si>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</si>
  <si>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</si>
  <si>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</si>
  <si>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</si>
  <si>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</si>
  <si>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</si>
  <si>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</si>
  <si>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</si>
  <si>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</si>
  <si>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</si>
  <si>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</si>
  <si>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</si>
  <si>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</si>
  <si>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</si>
  <si>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</si>
  <si>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</si>
  <si>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</si>
  <si>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</si>
  <si>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</si>
  <si>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</si>
  <si>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</si>
  <si>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</si>
  <si>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</si>
  <si>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</si>
  <si>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</si>
  <si>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</si>
  <si>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</si>
  <si>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</si>
  <si>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1. Top up $50 for Octopus</t>
  </si>
  <si>
    <t>23rd August 2026</t>
  </si>
  <si>
    <t>Alipay</t>
  </si>
  <si>
    <t>A discount of $3.08 for iHerb payment</t>
  </si>
  <si>
    <t>Partial Food And Snack Prepaid on the Previous Month
~ Food
   ~ HKTV mall 24/08 - $211.4
~ Snack And Drinks
   ~ OK Store 20/08 - $8.5</t>
  </si>
  <si>
    <t>2nd September 2026</t>
  </si>
  <si>
    <t>1. Borrow $60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</si>
  <si>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</t>
  </si>
  <si>
    <t>18th September 2026</t>
  </si>
  <si>
    <t>3rd September 2026</t>
  </si>
  <si>
    <t>Brother</t>
  </si>
  <si>
    <t>1. A gift for birthday $1000 from Lawrence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</si>
  <si>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</si>
  <si>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</si>
  <si>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Food
   ~ HKTV mall 17/09 - $574.59
~ Snack And Drinks</t>
  </si>
  <si>
    <t>~ iHerb Aveeno Lotion 23/08 - $136.64
~ Watsons Revlon color silk 17/09 - $59.9</t>
  </si>
  <si>
    <t>~ Additional transport fees for e-cigarette 17/09 - $50
~ Round Trip to East Kowloon hospital 02/10 - $4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</si>
</sst>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50" zoomScale="150" zoomScaleNormal="150" workbookViewId="0">
      <selection activeCell="D73" sqref="D73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0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455.54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59.9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580.2399999999999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8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1" t="s">
        <v>15</v>
      </c>
      <c r="D12" s="101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2" t="s">
        <v>17</v>
      </c>
      <c r="D13" s="102"/>
      <c r="E13" s="18">
        <v>12</v>
      </c>
    </row>
    <row r="14" spans="1:25" ht="29.25" customHeight="1" x14ac:dyDescent="0.2">
      <c r="A14" s="6"/>
      <c r="B14" s="6" t="s">
        <v>18</v>
      </c>
      <c r="C14" s="61" t="s">
        <v>19</v>
      </c>
      <c r="D14" s="61"/>
      <c r="E14" s="19">
        <v>900</v>
      </c>
    </row>
    <row r="15" spans="1:25" ht="29.25" customHeight="1" x14ac:dyDescent="0.2">
      <c r="A15" s="6"/>
      <c r="B15" s="6" t="s">
        <v>20</v>
      </c>
      <c r="C15" s="61" t="s">
        <v>21</v>
      </c>
      <c r="D15" s="61"/>
      <c r="E15" s="19">
        <v>1050</v>
      </c>
    </row>
    <row r="16" spans="1:25" ht="29.25" customHeight="1" x14ac:dyDescent="0.2">
      <c r="A16" s="6"/>
      <c r="B16" s="6" t="s">
        <v>22</v>
      </c>
      <c r="C16" s="61" t="s">
        <v>23</v>
      </c>
      <c r="D16" s="61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3" t="s">
        <v>25</v>
      </c>
      <c r="D17" s="103"/>
      <c r="E17" s="21">
        <v>187.6</v>
      </c>
    </row>
    <row r="18" spans="1:25" ht="29.25" customHeight="1" x14ac:dyDescent="0.2">
      <c r="A18" s="22"/>
      <c r="B18" s="6" t="s">
        <v>16</v>
      </c>
      <c r="C18" s="104" t="s">
        <v>26</v>
      </c>
      <c r="D18" s="104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5" t="s">
        <v>29</v>
      </c>
      <c r="D19" s="105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2" t="s">
        <v>31</v>
      </c>
      <c r="B22" s="62"/>
      <c r="C22" s="62"/>
      <c r="D22" s="62"/>
      <c r="E22" s="62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6" t="s">
        <v>11</v>
      </c>
      <c r="D23" s="106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1" t="s">
        <v>15</v>
      </c>
      <c r="D24" s="61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1" t="s">
        <v>34</v>
      </c>
      <c r="D25" s="61"/>
      <c r="E25" s="19">
        <v>2140</v>
      </c>
    </row>
    <row r="26" spans="1:25" ht="60.75" customHeight="1" x14ac:dyDescent="0.2">
      <c r="A26" s="30"/>
      <c r="B26" s="6" t="s">
        <v>24</v>
      </c>
      <c r="C26" s="60" t="s">
        <v>114</v>
      </c>
      <c r="D26" s="103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4" t="s">
        <v>35</v>
      </c>
      <c r="D27" s="104"/>
      <c r="E27" s="19">
        <v>205</v>
      </c>
    </row>
    <row r="28" spans="1:25" ht="60.75" customHeight="1" x14ac:dyDescent="0.2">
      <c r="A28" s="30"/>
      <c r="B28" s="6" t="s">
        <v>28</v>
      </c>
      <c r="C28" s="107" t="s">
        <v>36</v>
      </c>
      <c r="D28" s="107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2" t="s">
        <v>37</v>
      </c>
      <c r="B31" s="62"/>
      <c r="C31" s="62"/>
      <c r="D31" s="62"/>
      <c r="E31" s="62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3" t="s">
        <v>11</v>
      </c>
      <c r="D32" s="63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1" t="s">
        <v>15</v>
      </c>
      <c r="D33" s="61"/>
      <c r="E33" s="33">
        <v>2485</v>
      </c>
    </row>
    <row r="34" spans="1:5" ht="13.5" customHeight="1" x14ac:dyDescent="0.2">
      <c r="A34" s="30"/>
      <c r="B34" s="6" t="s">
        <v>16</v>
      </c>
      <c r="C34" s="61" t="s">
        <v>39</v>
      </c>
      <c r="D34" s="61"/>
      <c r="E34" s="33">
        <v>118</v>
      </c>
    </row>
    <row r="35" spans="1:5" ht="46.5" customHeight="1" x14ac:dyDescent="0.2">
      <c r="A35" s="30"/>
      <c r="B35" s="50" t="s">
        <v>24</v>
      </c>
      <c r="C35" s="108" t="s">
        <v>118</v>
      </c>
      <c r="D35" s="67"/>
      <c r="E35" s="33">
        <v>170</v>
      </c>
    </row>
    <row r="36" spans="1:5" ht="42.75" customHeight="1" x14ac:dyDescent="0.2">
      <c r="A36" s="30"/>
      <c r="B36" s="50" t="s">
        <v>80</v>
      </c>
      <c r="C36" s="108" t="s">
        <v>115</v>
      </c>
      <c r="D36" s="109"/>
      <c r="E36" s="33">
        <v>800</v>
      </c>
    </row>
    <row r="37" spans="1:5" ht="33.75" customHeight="1" x14ac:dyDescent="0.2">
      <c r="A37" s="6"/>
      <c r="B37" s="50" t="s">
        <v>28</v>
      </c>
      <c r="C37" s="60" t="s">
        <v>119</v>
      </c>
      <c r="D37" s="61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0" t="s">
        <v>40</v>
      </c>
      <c r="B40" s="70"/>
      <c r="C40" s="70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1" t="s">
        <v>41</v>
      </c>
      <c r="B42" s="71"/>
      <c r="C42" s="71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2" t="s">
        <v>47</v>
      </c>
      <c r="B47" s="72"/>
      <c r="C47" s="72"/>
    </row>
    <row r="48" spans="1:5" ht="13.5" customHeight="1" x14ac:dyDescent="0.2">
      <c r="A48" s="72"/>
      <c r="B48" s="72"/>
      <c r="C48" s="72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1" t="s">
        <v>53</v>
      </c>
      <c r="B54" s="71"/>
      <c r="C54" s="71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1" t="s">
        <v>59</v>
      </c>
      <c r="B58" s="71"/>
      <c r="C58" s="71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1" t="s">
        <v>63</v>
      </c>
      <c r="B61" s="71"/>
      <c r="C61" s="71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3" t="s">
        <v>67</v>
      </c>
      <c r="B64" s="73"/>
      <c r="C64" s="73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3" t="s">
        <v>79</v>
      </c>
      <c r="B72" s="73"/>
      <c r="C72" s="73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4" t="s">
        <v>125</v>
      </c>
      <c r="B79" s="74"/>
      <c r="C79" s="74"/>
      <c r="D79" s="74"/>
      <c r="E79" s="74"/>
    </row>
    <row r="80" spans="1:8" ht="13.5" customHeight="1" x14ac:dyDescent="0.2">
      <c r="A80" s="75" t="s">
        <v>83</v>
      </c>
      <c r="B80" s="75"/>
      <c r="C80" s="75" t="s">
        <v>11</v>
      </c>
      <c r="D80" s="75"/>
      <c r="E80" s="44" t="s">
        <v>12</v>
      </c>
    </row>
    <row r="81" spans="1:5" ht="24" customHeight="1" x14ac:dyDescent="0.2">
      <c r="A81" s="110" t="s">
        <v>84</v>
      </c>
      <c r="B81" s="110"/>
      <c r="C81" s="77"/>
      <c r="D81" s="77"/>
      <c r="E81" s="7">
        <v>21.98</v>
      </c>
    </row>
    <row r="82" spans="1:5" x14ac:dyDescent="0.2">
      <c r="A82" s="77" t="s">
        <v>67</v>
      </c>
      <c r="B82" s="77"/>
      <c r="C82" s="111" t="s">
        <v>85</v>
      </c>
      <c r="D82" s="111"/>
      <c r="E82" s="45">
        <v>168</v>
      </c>
    </row>
    <row r="83" spans="1:5" ht="220.5" customHeight="1" x14ac:dyDescent="0.2">
      <c r="A83" s="77"/>
      <c r="B83" s="77"/>
      <c r="C83" s="111" t="s">
        <v>86</v>
      </c>
      <c r="D83" s="111"/>
      <c r="E83" s="45">
        <v>507.7</v>
      </c>
    </row>
    <row r="84" spans="1:5" x14ac:dyDescent="0.2">
      <c r="A84" s="77"/>
      <c r="B84" s="77"/>
      <c r="C84" s="111" t="s">
        <v>87</v>
      </c>
      <c r="D84" s="111"/>
      <c r="E84" s="45">
        <v>1728</v>
      </c>
    </row>
    <row r="85" spans="1:5" ht="17.25" customHeight="1" x14ac:dyDescent="0.2">
      <c r="A85" s="77"/>
      <c r="B85" s="77"/>
      <c r="C85" s="112" t="s">
        <v>88</v>
      </c>
      <c r="D85" s="112"/>
      <c r="E85" s="45">
        <v>50</v>
      </c>
    </row>
    <row r="86" spans="1:5" ht="17.25" customHeight="1" x14ac:dyDescent="0.2">
      <c r="A86" s="77"/>
      <c r="B86" s="77"/>
      <c r="C86" s="82" t="s">
        <v>89</v>
      </c>
      <c r="D86" s="82"/>
      <c r="E86" s="45">
        <v>418</v>
      </c>
    </row>
    <row r="87" spans="1:5" ht="17.25" customHeight="1" x14ac:dyDescent="0.2">
      <c r="A87" s="77"/>
      <c r="B87" s="77"/>
      <c r="C87" s="112" t="s">
        <v>90</v>
      </c>
      <c r="D87" s="112"/>
      <c r="E87" s="45">
        <v>697</v>
      </c>
    </row>
    <row r="88" spans="1:5" ht="42" customHeight="1" x14ac:dyDescent="0.2">
      <c r="A88" s="77"/>
      <c r="B88" s="77"/>
      <c r="C88" s="111" t="s">
        <v>91</v>
      </c>
      <c r="D88" s="111"/>
      <c r="E88" s="45">
        <v>5.4</v>
      </c>
    </row>
    <row r="89" spans="1:5" ht="17.25" customHeight="1" x14ac:dyDescent="0.2">
      <c r="A89" s="77"/>
      <c r="B89" s="77"/>
      <c r="C89" s="82" t="s">
        <v>92</v>
      </c>
      <c r="D89" s="82"/>
      <c r="E89" s="45">
        <v>136</v>
      </c>
    </row>
    <row r="90" spans="1:5" ht="17.25" customHeight="1" x14ac:dyDescent="0.2">
      <c r="A90" s="77"/>
      <c r="B90" s="77"/>
      <c r="C90" s="82" t="s">
        <v>93</v>
      </c>
      <c r="D90" s="82"/>
      <c r="E90" s="45">
        <v>112.3</v>
      </c>
    </row>
    <row r="91" spans="1:5" ht="17.25" customHeight="1" x14ac:dyDescent="0.2">
      <c r="A91" s="77"/>
      <c r="B91" s="77"/>
      <c r="C91" s="113" t="s">
        <v>94</v>
      </c>
      <c r="D91" s="113"/>
      <c r="E91" s="45">
        <v>366.38</v>
      </c>
    </row>
    <row r="92" spans="1:5" ht="13.5" customHeight="1" x14ac:dyDescent="0.2">
      <c r="A92" s="78" t="s">
        <v>95</v>
      </c>
      <c r="B92" s="78"/>
      <c r="C92" s="83"/>
      <c r="D92" s="83"/>
      <c r="E92" s="46">
        <f>C76</f>
        <v>1367</v>
      </c>
    </row>
    <row r="93" spans="1:5" ht="13.5" customHeight="1" x14ac:dyDescent="0.2">
      <c r="C93" s="84" t="s">
        <v>96</v>
      </c>
      <c r="D93" s="84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4" t="s">
        <v>126</v>
      </c>
      <c r="B95" s="74"/>
      <c r="C95" s="74"/>
      <c r="D95" s="74"/>
      <c r="E95" s="74"/>
    </row>
    <row r="96" spans="1:5" ht="13.5" customHeight="1" x14ac:dyDescent="0.2">
      <c r="A96" s="74" t="s">
        <v>83</v>
      </c>
      <c r="B96" s="74"/>
      <c r="C96" s="74" t="s">
        <v>11</v>
      </c>
      <c r="D96" s="74"/>
      <c r="E96" s="43" t="s">
        <v>12</v>
      </c>
    </row>
    <row r="97" spans="1:5" ht="13.5" customHeight="1" x14ac:dyDescent="0.2">
      <c r="A97" s="76" t="s">
        <v>97</v>
      </c>
      <c r="B97" s="76"/>
      <c r="C97" s="85"/>
      <c r="D97" s="85"/>
      <c r="E97" s="47">
        <f>E93</f>
        <v>-31.199999999999818</v>
      </c>
    </row>
    <row r="98" spans="1:5" ht="45.75" customHeight="1" x14ac:dyDescent="0.2">
      <c r="A98" s="77" t="s">
        <v>67</v>
      </c>
      <c r="B98" s="77"/>
      <c r="C98" s="81" t="s">
        <v>98</v>
      </c>
      <c r="D98" s="81"/>
      <c r="E98" s="48">
        <v>747.6</v>
      </c>
    </row>
    <row r="99" spans="1:5" ht="409" customHeight="1" x14ac:dyDescent="0.2">
      <c r="A99" s="77"/>
      <c r="B99" s="77"/>
      <c r="C99" s="79" t="s">
        <v>113</v>
      </c>
      <c r="D99" s="79"/>
      <c r="E99" s="48">
        <v>900.2</v>
      </c>
    </row>
    <row r="100" spans="1:5" ht="73.5" customHeight="1" x14ac:dyDescent="0.2">
      <c r="A100" s="77"/>
      <c r="B100" s="77"/>
      <c r="C100" s="79" t="s">
        <v>111</v>
      </c>
      <c r="D100" s="79"/>
      <c r="E100" s="48">
        <v>656.4</v>
      </c>
    </row>
    <row r="101" spans="1:5" ht="118.5" customHeight="1" x14ac:dyDescent="0.2">
      <c r="A101" s="77"/>
      <c r="B101" s="77"/>
      <c r="C101" s="79" t="s">
        <v>110</v>
      </c>
      <c r="D101" s="79"/>
      <c r="E101" s="48">
        <v>167.4</v>
      </c>
    </row>
    <row r="102" spans="1:5" ht="129.75" customHeight="1" x14ac:dyDescent="0.2">
      <c r="A102" s="77"/>
      <c r="B102" s="77"/>
      <c r="C102" s="90" t="s">
        <v>99</v>
      </c>
      <c r="D102" s="114"/>
      <c r="E102" s="48">
        <v>1109</v>
      </c>
    </row>
    <row r="103" spans="1:5" ht="13.5" customHeight="1" x14ac:dyDescent="0.2">
      <c r="A103" s="77" t="s">
        <v>95</v>
      </c>
      <c r="B103" s="77"/>
      <c r="C103" s="85"/>
      <c r="D103" s="85"/>
      <c r="E103" s="45">
        <f>C76</f>
        <v>1367</v>
      </c>
    </row>
    <row r="104" spans="1:5" ht="13.5" customHeight="1" x14ac:dyDescent="0.2">
      <c r="C104" s="88" t="s">
        <v>96</v>
      </c>
      <c r="D104" s="88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9" t="s">
        <v>127</v>
      </c>
      <c r="B107" s="89"/>
      <c r="C107" s="89"/>
      <c r="D107" s="89"/>
      <c r="E107" s="89"/>
    </row>
    <row r="108" spans="1:5" ht="13.5" customHeight="1" x14ac:dyDescent="0.2">
      <c r="A108" s="74" t="s">
        <v>83</v>
      </c>
      <c r="B108" s="74"/>
      <c r="C108" s="74" t="s">
        <v>11</v>
      </c>
      <c r="D108" s="74"/>
      <c r="E108" s="43" t="s">
        <v>12</v>
      </c>
    </row>
    <row r="109" spans="1:5" ht="13.5" customHeight="1" x14ac:dyDescent="0.2">
      <c r="A109" s="76" t="s">
        <v>100</v>
      </c>
      <c r="B109" s="76"/>
      <c r="C109" s="85"/>
      <c r="D109" s="85"/>
      <c r="E109" s="47">
        <f>E104</f>
        <v>228.5</v>
      </c>
    </row>
    <row r="110" spans="1:5" ht="333" customHeight="1" x14ac:dyDescent="0.2">
      <c r="A110" s="93" t="s">
        <v>67</v>
      </c>
      <c r="B110" s="94"/>
      <c r="C110" s="107" t="s">
        <v>117</v>
      </c>
      <c r="D110" s="107"/>
      <c r="E110" s="45">
        <v>870.3</v>
      </c>
    </row>
    <row r="111" spans="1:5" ht="152" customHeight="1" x14ac:dyDescent="0.2">
      <c r="A111" s="95"/>
      <c r="B111" s="96"/>
      <c r="C111" s="115" t="s">
        <v>116</v>
      </c>
      <c r="D111" s="116"/>
      <c r="E111" s="45">
        <v>1428</v>
      </c>
    </row>
    <row r="112" spans="1:5" ht="151" customHeight="1" x14ac:dyDescent="0.2">
      <c r="A112" s="97"/>
      <c r="B112" s="98"/>
      <c r="C112" s="90" t="s">
        <v>120</v>
      </c>
      <c r="D112" s="114"/>
      <c r="E112" s="45">
        <v>225.5</v>
      </c>
    </row>
    <row r="113" spans="1:5" ht="13.5" customHeight="1" x14ac:dyDescent="0.2">
      <c r="A113" s="77" t="s">
        <v>95</v>
      </c>
      <c r="B113" s="77"/>
      <c r="C113" s="85"/>
      <c r="D113" s="85"/>
      <c r="E113" s="45">
        <f>C76</f>
        <v>1367</v>
      </c>
    </row>
    <row r="114" spans="1:5" ht="13.5" customHeight="1" x14ac:dyDescent="0.2">
      <c r="C114" s="88" t="s">
        <v>96</v>
      </c>
      <c r="D114" s="88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5"/>
  <sheetViews>
    <sheetView tabSelected="1" topLeftCell="A49" zoomScale="150" zoomScaleNormal="130" workbookViewId="0">
      <selection activeCell="D66" sqref="D66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101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455.54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59.9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580.2399999999999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102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59" t="s">
        <v>15</v>
      </c>
      <c r="D12" s="59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1" t="s">
        <v>123</v>
      </c>
      <c r="D13" s="61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0" t="s">
        <v>132</v>
      </c>
      <c r="D14" s="61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2" t="s">
        <v>104</v>
      </c>
      <c r="B17" s="62"/>
      <c r="C17" s="62"/>
      <c r="D17" s="62"/>
      <c r="E17" s="62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3" t="s">
        <v>11</v>
      </c>
      <c r="D18" s="63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1" t="s">
        <v>15</v>
      </c>
      <c r="D19" s="61"/>
      <c r="E19" s="29">
        <v>2485</v>
      </c>
    </row>
    <row r="20" spans="1:25" ht="13.5" customHeight="1" x14ac:dyDescent="0.2">
      <c r="A20" s="50" t="s">
        <v>131</v>
      </c>
      <c r="B20" s="50" t="s">
        <v>28</v>
      </c>
      <c r="C20" s="66" t="s">
        <v>135</v>
      </c>
      <c r="D20" s="67"/>
      <c r="E20" s="29">
        <v>50</v>
      </c>
    </row>
    <row r="21" spans="1:25" ht="19" customHeight="1" x14ac:dyDescent="0.2">
      <c r="A21" s="54" t="s">
        <v>136</v>
      </c>
      <c r="B21" s="54" t="s">
        <v>137</v>
      </c>
      <c r="C21" s="64" t="s">
        <v>138</v>
      </c>
      <c r="D21" s="65"/>
      <c r="E21" s="29">
        <v>3.08</v>
      </c>
    </row>
    <row r="22" spans="1:25" ht="19" customHeight="1" x14ac:dyDescent="0.2">
      <c r="A22" s="50" t="s">
        <v>140</v>
      </c>
      <c r="B22" s="50" t="s">
        <v>24</v>
      </c>
      <c r="C22" s="66" t="s">
        <v>141</v>
      </c>
      <c r="D22" s="67"/>
      <c r="E22" s="29">
        <v>60</v>
      </c>
    </row>
    <row r="23" spans="1:25" ht="13.5" customHeight="1" x14ac:dyDescent="0.2">
      <c r="A23" s="50" t="s">
        <v>144</v>
      </c>
      <c r="B23" s="50" t="s">
        <v>145</v>
      </c>
      <c r="C23" s="68" t="s">
        <v>146</v>
      </c>
      <c r="D23" s="69"/>
      <c r="E23" s="29">
        <v>1000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3598.08</v>
      </c>
    </row>
    <row r="25" spans="1:25" ht="13.5" customHeight="1" x14ac:dyDescent="0.2">
      <c r="A25" s="24"/>
      <c r="B25" s="24"/>
    </row>
    <row r="26" spans="1:25" ht="13.5" customHeight="1" x14ac:dyDescent="0.2">
      <c r="A26" s="62" t="s">
        <v>105</v>
      </c>
      <c r="B26" s="62"/>
      <c r="C26" s="62"/>
      <c r="D26" s="62"/>
      <c r="E26" s="62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3" t="s">
        <v>11</v>
      </c>
      <c r="D27" s="63"/>
      <c r="E27" s="2" t="s">
        <v>12</v>
      </c>
    </row>
    <row r="28" spans="1:25" ht="13.5" customHeight="1" x14ac:dyDescent="0.2">
      <c r="A28" s="50" t="s">
        <v>143</v>
      </c>
      <c r="B28" s="6" t="s">
        <v>14</v>
      </c>
      <c r="C28" s="61" t="s">
        <v>15</v>
      </c>
      <c r="D28" s="61"/>
      <c r="E28" s="33">
        <v>2485</v>
      </c>
    </row>
    <row r="29" spans="1:25" ht="13.5" customHeight="1" x14ac:dyDescent="0.2">
      <c r="A29" s="6"/>
      <c r="B29" s="6"/>
      <c r="C29" s="61"/>
      <c r="D29" s="61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70" t="s">
        <v>106</v>
      </c>
      <c r="B32" s="70"/>
      <c r="C32" s="70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71" t="s">
        <v>41</v>
      </c>
      <c r="B34" s="71"/>
      <c r="C34" s="71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72" t="s">
        <v>47</v>
      </c>
      <c r="B39" s="72"/>
      <c r="C39" s="72"/>
    </row>
    <row r="40" spans="1:4" ht="13.5" customHeight="1" x14ac:dyDescent="0.2">
      <c r="A40" s="72"/>
      <c r="B40" s="72"/>
      <c r="C40" s="72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71" t="s">
        <v>53</v>
      </c>
      <c r="B46" s="71"/>
      <c r="C46" s="71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71" t="s">
        <v>59</v>
      </c>
      <c r="B50" s="71"/>
      <c r="C50" s="71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71" t="s">
        <v>63</v>
      </c>
      <c r="B53" s="71"/>
      <c r="C53" s="71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73" t="s">
        <v>67</v>
      </c>
      <c r="B56" s="73"/>
      <c r="C56" s="73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73" t="s">
        <v>79</v>
      </c>
      <c r="B64" s="73"/>
      <c r="C64" s="73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0</v>
      </c>
    </row>
    <row r="67" spans="1:8" ht="13.5" customHeight="1" x14ac:dyDescent="0.2">
      <c r="A67" s="7"/>
      <c r="B67" s="7" t="s">
        <v>81</v>
      </c>
      <c r="C67" s="19">
        <f>SUM(C65:C66)</f>
        <v>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4" t="s">
        <v>128</v>
      </c>
      <c r="B71" s="74"/>
      <c r="C71" s="74"/>
      <c r="D71" s="74"/>
      <c r="E71" s="74"/>
    </row>
    <row r="72" spans="1:8" ht="13.5" customHeight="1" x14ac:dyDescent="0.2">
      <c r="A72" s="75" t="s">
        <v>83</v>
      </c>
      <c r="B72" s="75"/>
      <c r="C72" s="75" t="s">
        <v>11</v>
      </c>
      <c r="D72" s="75"/>
      <c r="E72" s="44" t="s">
        <v>12</v>
      </c>
    </row>
    <row r="73" spans="1:8" ht="24" customHeight="1" x14ac:dyDescent="0.2">
      <c r="A73" s="76" t="s">
        <v>107</v>
      </c>
      <c r="B73" s="76"/>
      <c r="C73" s="77"/>
      <c r="D73" s="77"/>
      <c r="E73" s="47">
        <f>'April 2026 - June 2026'!E114</f>
        <v>110.69999999999982</v>
      </c>
    </row>
    <row r="74" spans="1:8" ht="39" customHeight="1" x14ac:dyDescent="0.2">
      <c r="A74" s="78" t="s">
        <v>67</v>
      </c>
      <c r="B74" s="78"/>
      <c r="C74" s="79" t="s">
        <v>121</v>
      </c>
      <c r="D74" s="79"/>
      <c r="E74" s="45">
        <v>600</v>
      </c>
    </row>
    <row r="75" spans="1:8" ht="259" customHeight="1" x14ac:dyDescent="0.2">
      <c r="A75" s="78"/>
      <c r="B75" s="78"/>
      <c r="C75" s="80" t="s">
        <v>133</v>
      </c>
      <c r="D75" s="81"/>
      <c r="E75" s="45">
        <v>1117.5</v>
      </c>
    </row>
    <row r="76" spans="1:8" ht="146" customHeight="1" x14ac:dyDescent="0.2">
      <c r="A76" s="78"/>
      <c r="B76" s="78"/>
      <c r="C76" s="80" t="s">
        <v>134</v>
      </c>
      <c r="D76" s="82"/>
      <c r="E76" s="45">
        <v>508</v>
      </c>
    </row>
    <row r="77" spans="1:8" ht="13.5" customHeight="1" x14ac:dyDescent="0.2">
      <c r="A77" s="78" t="s">
        <v>95</v>
      </c>
      <c r="B77" s="78"/>
      <c r="C77" s="83"/>
      <c r="D77" s="83"/>
      <c r="E77" s="46">
        <f>C68</f>
        <v>1171</v>
      </c>
    </row>
    <row r="78" spans="1:8" ht="13.5" customHeight="1" x14ac:dyDescent="0.2">
      <c r="C78" s="84" t="s">
        <v>96</v>
      </c>
      <c r="D78" s="84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4" t="s">
        <v>129</v>
      </c>
      <c r="B80" s="74"/>
      <c r="C80" s="74"/>
      <c r="D80" s="74"/>
      <c r="E80" s="74"/>
    </row>
    <row r="81" spans="1:5" ht="13.5" customHeight="1" x14ac:dyDescent="0.2">
      <c r="A81" s="74" t="s">
        <v>83</v>
      </c>
      <c r="B81" s="74"/>
      <c r="C81" s="74" t="s">
        <v>11</v>
      </c>
      <c r="D81" s="74"/>
      <c r="E81" s="43" t="s">
        <v>12</v>
      </c>
    </row>
    <row r="82" spans="1:5" ht="23" customHeight="1" x14ac:dyDescent="0.2">
      <c r="A82" s="76" t="s">
        <v>108</v>
      </c>
      <c r="B82" s="76"/>
      <c r="C82" s="85"/>
      <c r="D82" s="85"/>
      <c r="E82" s="47">
        <f>E78</f>
        <v>24.599999999999909</v>
      </c>
    </row>
    <row r="83" spans="1:5" ht="56" customHeight="1" x14ac:dyDescent="0.2">
      <c r="A83" s="93" t="s">
        <v>67</v>
      </c>
      <c r="B83" s="94"/>
      <c r="C83" s="86" t="s">
        <v>147</v>
      </c>
      <c r="D83" s="87"/>
      <c r="E83" s="48">
        <v>830.4</v>
      </c>
    </row>
    <row r="84" spans="1:5" ht="89" customHeight="1" x14ac:dyDescent="0.2">
      <c r="A84" s="95"/>
      <c r="B84" s="96"/>
      <c r="C84" s="79" t="s">
        <v>139</v>
      </c>
      <c r="D84" s="79"/>
      <c r="E84" s="48">
        <v>219.9</v>
      </c>
    </row>
    <row r="85" spans="1:5" ht="125" customHeight="1" x14ac:dyDescent="0.2">
      <c r="A85" s="95"/>
      <c r="B85" s="96"/>
      <c r="C85" s="90" t="s">
        <v>142</v>
      </c>
      <c r="D85" s="91"/>
      <c r="E85" s="48">
        <v>258.5</v>
      </c>
    </row>
    <row r="86" spans="1:5" ht="40" customHeight="1" x14ac:dyDescent="0.2">
      <c r="A86" s="95"/>
      <c r="B86" s="96"/>
      <c r="C86" s="86" t="s">
        <v>150</v>
      </c>
      <c r="D86" s="92"/>
      <c r="E86" s="48">
        <v>136.63999999999999</v>
      </c>
    </row>
    <row r="87" spans="1:5" ht="80" customHeight="1" x14ac:dyDescent="0.2">
      <c r="A87" s="97"/>
      <c r="B87" s="98"/>
      <c r="C87" s="90" t="s">
        <v>148</v>
      </c>
      <c r="D87" s="91"/>
      <c r="E87" s="55">
        <v>426</v>
      </c>
    </row>
    <row r="88" spans="1:5" ht="19.5" customHeight="1" x14ac:dyDescent="0.2">
      <c r="A88" s="77" t="s">
        <v>95</v>
      </c>
      <c r="B88" s="77"/>
      <c r="C88" s="85"/>
      <c r="D88" s="85"/>
      <c r="E88" s="45">
        <f>C68</f>
        <v>1171</v>
      </c>
    </row>
    <row r="89" spans="1:5" ht="13.5" customHeight="1" x14ac:dyDescent="0.2">
      <c r="C89" s="88" t="s">
        <v>96</v>
      </c>
      <c r="D89" s="88"/>
      <c r="E89" s="47">
        <f>(E24+E82)-SUM(E83:E88)</f>
        <v>580.23999999999978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89" t="s">
        <v>130</v>
      </c>
      <c r="B92" s="89"/>
      <c r="C92" s="89"/>
      <c r="D92" s="89"/>
      <c r="E92" s="89"/>
    </row>
    <row r="93" spans="1:5" ht="13.5" customHeight="1" x14ac:dyDescent="0.2">
      <c r="A93" s="74" t="s">
        <v>83</v>
      </c>
      <c r="B93" s="74"/>
      <c r="C93" s="74" t="s">
        <v>11</v>
      </c>
      <c r="D93" s="74"/>
      <c r="E93" s="43" t="s">
        <v>12</v>
      </c>
    </row>
    <row r="94" spans="1:5" ht="25" customHeight="1" x14ac:dyDescent="0.2">
      <c r="A94" s="76" t="s">
        <v>109</v>
      </c>
      <c r="B94" s="76"/>
      <c r="C94" s="85"/>
      <c r="D94" s="85"/>
      <c r="E94" s="47">
        <f>E89</f>
        <v>580.23999999999978</v>
      </c>
    </row>
    <row r="95" spans="1:5" ht="56" customHeight="1" x14ac:dyDescent="0.2">
      <c r="A95" s="93" t="s">
        <v>67</v>
      </c>
      <c r="B95" s="94"/>
      <c r="C95" s="99" t="s">
        <v>149</v>
      </c>
      <c r="D95" s="100"/>
      <c r="E95" s="45">
        <v>574.59</v>
      </c>
    </row>
    <row r="96" spans="1:5" ht="51" customHeight="1" x14ac:dyDescent="0.2">
      <c r="A96" s="95"/>
      <c r="B96" s="96"/>
      <c r="C96" s="99" t="s">
        <v>151</v>
      </c>
      <c r="D96" s="100"/>
      <c r="E96" s="45">
        <v>113.9</v>
      </c>
    </row>
    <row r="97" spans="1:5" ht="20" customHeight="1" x14ac:dyDescent="0.2">
      <c r="A97" s="97"/>
      <c r="B97" s="98"/>
      <c r="C97" s="99"/>
      <c r="D97" s="100"/>
      <c r="E97" s="45">
        <v>0</v>
      </c>
    </row>
    <row r="98" spans="1:5" ht="13.5" customHeight="1" x14ac:dyDescent="0.2">
      <c r="A98" s="77" t="s">
        <v>95</v>
      </c>
      <c r="B98" s="77"/>
      <c r="C98" s="85"/>
      <c r="D98" s="85"/>
      <c r="E98" s="45">
        <f>C68</f>
        <v>1171</v>
      </c>
    </row>
    <row r="99" spans="1:5" ht="13.5" customHeight="1" x14ac:dyDescent="0.2">
      <c r="C99" s="88" t="s">
        <v>96</v>
      </c>
      <c r="D99" s="88"/>
      <c r="E99" s="47">
        <f>(E30+E94)-SUM(E95:E98)</f>
        <v>1205.7499999999998</v>
      </c>
    </row>
    <row r="100" spans="1:5" ht="13.5" customHeight="1" x14ac:dyDescent="0.2">
      <c r="A100" s="24"/>
      <c r="B100" s="24"/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</sheetData>
  <mergeCells count="63">
    <mergeCell ref="C99:D99"/>
    <mergeCell ref="A94:B94"/>
    <mergeCell ref="C94:D94"/>
    <mergeCell ref="A98:B98"/>
    <mergeCell ref="C98:D98"/>
    <mergeCell ref="C95:D95"/>
    <mergeCell ref="C96:D96"/>
    <mergeCell ref="C97:D97"/>
    <mergeCell ref="A95:B97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78:D78"/>
    <mergeCell ref="A80:E80"/>
    <mergeCell ref="A81:B81"/>
    <mergeCell ref="C81:D81"/>
    <mergeCell ref="A82:B82"/>
    <mergeCell ref="C82:D82"/>
    <mergeCell ref="A74:B76"/>
    <mergeCell ref="C74:D74"/>
    <mergeCell ref="C75:D75"/>
    <mergeCell ref="C76:D76"/>
    <mergeCell ref="A77:B77"/>
    <mergeCell ref="C77:D77"/>
    <mergeCell ref="A64:C64"/>
    <mergeCell ref="A71:E71"/>
    <mergeCell ref="A72:B72"/>
    <mergeCell ref="C72:D72"/>
    <mergeCell ref="A73:B73"/>
    <mergeCell ref="C73:D73"/>
    <mergeCell ref="A39:C40"/>
    <mergeCell ref="A46:C46"/>
    <mergeCell ref="A50:C50"/>
    <mergeCell ref="A53:C53"/>
    <mergeCell ref="A56:C56"/>
    <mergeCell ref="C27:D27"/>
    <mergeCell ref="C28:D28"/>
    <mergeCell ref="C29:D29"/>
    <mergeCell ref="A32:C32"/>
    <mergeCell ref="A34:C34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3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8 E82 E89 E94 E99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2026-09-02T19:01:54Z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