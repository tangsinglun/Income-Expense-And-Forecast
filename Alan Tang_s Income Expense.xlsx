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46FE8E4-594E-FA43-A345-64BB457516B9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5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4" i="2"/>
  <c r="C3" i="2"/>
  <c r="C65" i="2" l="1"/>
  <c r="E74" i="2"/>
  <c r="E75" i="2" s="1"/>
  <c r="E79" i="2" s="1"/>
  <c r="E90" i="2" s="1"/>
  <c r="E93" i="2" s="1"/>
  <c r="E92" i="2"/>
  <c r="E84" i="2"/>
</calcChain>
</file>

<file path=xl/sharedStrings.xml><?xml version="1.0" encoding="utf-8"?>
<sst xmlns="http://schemas.openxmlformats.org/spreadsheetml/2006/main" count="282" uniqueCount="136">
  <si>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</si>
  <si>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</si>
  <si>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</si>
  <si>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</si>
  <si>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</si>
  <si>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</si>
  <si>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</si>
  <si>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</si>
  <si>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</si>
  <si>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</si>
  <si>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</si>
  <si>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</si>
  <si>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</si>
  <si>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</si>
  <si>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</si>
  <si>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</si>
  <si>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</si>
  <si>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</si>
  <si>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</si>
  <si>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</si>
  <si>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</si>
  <si>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</si>
  <si>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</si>
  <si>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</si>
  <si>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</si>
  <si>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</si>
  <si>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</si>
  <si>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</si>
  <si>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</si>
  <si>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</si>
  <si>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</si>
  <si>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</si>
  <si>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</si>
  <si>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</si>
  <si>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</si>
  <si>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</si>
  <si>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</si>
  <si>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</si>
  <si>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</si>
  <si>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</si>
  <si>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</si>
  <si>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</si>
  <si>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</si>
  <si>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</si>
  <si>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</si>
  <si>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</si>
  <si>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</si>
  <si>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</si>
  <si>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</si>
  <si>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</si>
  <si>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</si>
  <si>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</si>
  <si>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</si>
  <si>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</si>
  <si>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</si>
  <si>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</si>
  <si>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</si>
  <si>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</si>
  <si>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</si>
  <si>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</si>
  <si>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</si>
  <si>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</si>
  <si>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</si>
  <si>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</si>
  <si>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</si>
  <si>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</si>
  <si>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</si>
  <si>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</si>
  <si>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</si>
  <si>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</si>
  <si>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</si>
  <si>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</si>
  <si>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</si>
  <si>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</si>
  <si>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</si>
  <si>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</si>
  <si>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</si>
  <si>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</si>
  <si>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</si>
  <si>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</si>
  <si>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</si>
  <si>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</si>
  <si>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</si>
  <si>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Debts Or Credits For the Comming April 20th - May 19th 2026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</si>
  <si>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</si>
  <si>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</si>
  <si>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</si>
  <si>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</si>
  <si>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</si>
  <si>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</si>
  <si>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</si>
  <si>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</si>
  <si>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</si>
  <si>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</si>
  <si>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</si>
  <si>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</si>
  <si>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</si>
  <si>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</si>
  <si>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Debts Or Credits For the Coming May 20th - June 17th 2026</t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</si>
  <si>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</si>
  <si>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</si>
  <si>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</si>
  <si>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Debts Or Credits For the Comming June 18th - July 19th 2026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</si>
  <si>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</si>
  <si>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</si>
  <si>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</si>
  <si>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</si>
  <si>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</si>
  <si>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</si>
  <si>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</si>
  <si>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Debts Or Credits For the Comming July 20th - August 19th 2026</t>
  </si>
  <si>
    <t>Blance Brough Forward From June 2026</t>
  </si>
  <si>
    <t>Debts Or Credits For the Coming August 20th - September 17th 2026</t>
  </si>
  <si>
    <t>Balance Brought Forward From July 2026</t>
  </si>
  <si>
    <t>Debts Or Credits For the Comming September 18th - October 19th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</si>
  <si>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</si>
  <si>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</si>
  <si>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</si>
  <si>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</si>
  <si>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</si>
  <si>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</si>
  <si>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</si>
  <si>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</si>
  <si>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</si>
  <si>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</si>
  <si>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</si>
  <si>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</si>
  <si>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</si>
  <si>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</si>
  <si>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</si>
  <si>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</si>
  <si>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</t>
  </si>
  <si>
    <t>~ OK Store buy additional 1 packet cigarette 20/07 - $78
~ Additional transport fees for e-cigarette 20/07 - $40
~ Microsoft Office 365 1 year subscribtion 30/07 - $299
~ Round Trip to Kowloon East Hospital 03/08 - $4
~ Round Trip to Kwai Chung Eldery Hospital 05/08 - $3.5</t>
  </si>
  <si>
    <t>06th Aug 2026</t>
  </si>
  <si>
    <t>Borrow $100</t>
  </si>
  <si>
    <t>~ Payback $100 to Mom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</si>
</sst>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104" zoomScale="150" zoomScaleNormal="150" workbookViewId="0">
      <selection activeCell="C3" sqref="C3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5" t="s">
        <v>0</v>
      </c>
      <c r="B1" s="55"/>
      <c r="C1" s="55"/>
      <c r="D1" s="55"/>
      <c r="E1" s="5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6" t="s">
        <v>8</v>
      </c>
      <c r="B10" s="56"/>
      <c r="C10" s="56"/>
      <c r="D10" s="56"/>
      <c r="E10" s="5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7" t="s">
        <v>11</v>
      </c>
      <c r="D11" s="57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85" t="s">
        <v>15</v>
      </c>
      <c r="D12" s="85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86" t="s">
        <v>17</v>
      </c>
      <c r="D13" s="86"/>
      <c r="E13" s="18">
        <v>12</v>
      </c>
    </row>
    <row r="14" spans="1:25" ht="29.25" customHeight="1" x14ac:dyDescent="0.2">
      <c r="A14" s="6"/>
      <c r="B14" s="6" t="s">
        <v>18</v>
      </c>
      <c r="C14" s="60" t="s">
        <v>19</v>
      </c>
      <c r="D14" s="60"/>
      <c r="E14" s="19">
        <v>900</v>
      </c>
    </row>
    <row r="15" spans="1:25" ht="29.25" customHeight="1" x14ac:dyDescent="0.2">
      <c r="A15" s="6"/>
      <c r="B15" s="6" t="s">
        <v>20</v>
      </c>
      <c r="C15" s="60" t="s">
        <v>21</v>
      </c>
      <c r="D15" s="60"/>
      <c r="E15" s="19">
        <v>1050</v>
      </c>
    </row>
    <row r="16" spans="1:25" ht="29.25" customHeight="1" x14ac:dyDescent="0.2">
      <c r="A16" s="6"/>
      <c r="B16" s="6" t="s">
        <v>22</v>
      </c>
      <c r="C16" s="60" t="s">
        <v>23</v>
      </c>
      <c r="D16" s="60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87" t="s">
        <v>25</v>
      </c>
      <c r="D17" s="87"/>
      <c r="E17" s="21">
        <v>187.6</v>
      </c>
    </row>
    <row r="18" spans="1:25" ht="29.25" customHeight="1" x14ac:dyDescent="0.2">
      <c r="A18" s="22"/>
      <c r="B18" s="6" t="s">
        <v>16</v>
      </c>
      <c r="C18" s="88" t="s">
        <v>26</v>
      </c>
      <c r="D18" s="88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89" t="s">
        <v>29</v>
      </c>
      <c r="D19" s="89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61" t="s">
        <v>31</v>
      </c>
      <c r="B22" s="61"/>
      <c r="C22" s="61"/>
      <c r="D22" s="61"/>
      <c r="E22" s="6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0" t="s">
        <v>11</v>
      </c>
      <c r="D23" s="90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0" t="s">
        <v>15</v>
      </c>
      <c r="D24" s="60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60" t="s">
        <v>34</v>
      </c>
      <c r="D25" s="60"/>
      <c r="E25" s="19">
        <v>2140</v>
      </c>
    </row>
    <row r="26" spans="1:25" ht="60.75" customHeight="1" x14ac:dyDescent="0.2">
      <c r="A26" s="31"/>
      <c r="B26" s="6" t="s">
        <v>24</v>
      </c>
      <c r="C26" s="91" t="s">
        <v>120</v>
      </c>
      <c r="D26" s="87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88" t="s">
        <v>35</v>
      </c>
      <c r="D27" s="88"/>
      <c r="E27" s="19">
        <v>205</v>
      </c>
    </row>
    <row r="28" spans="1:25" ht="60.75" customHeight="1" x14ac:dyDescent="0.2">
      <c r="A28" s="31"/>
      <c r="B28" s="6" t="s">
        <v>28</v>
      </c>
      <c r="C28" s="92" t="s">
        <v>36</v>
      </c>
      <c r="D28" s="92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61" t="s">
        <v>37</v>
      </c>
      <c r="B31" s="61"/>
      <c r="C31" s="61"/>
      <c r="D31" s="61"/>
      <c r="E31" s="6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62" t="s">
        <v>11</v>
      </c>
      <c r="D32" s="62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0" t="s">
        <v>15</v>
      </c>
      <c r="D33" s="60"/>
      <c r="E33" s="34">
        <v>2485</v>
      </c>
    </row>
    <row r="34" spans="1:5" ht="13.5" customHeight="1" x14ac:dyDescent="0.2">
      <c r="A34" s="31"/>
      <c r="B34" s="6" t="s">
        <v>16</v>
      </c>
      <c r="C34" s="60" t="s">
        <v>39</v>
      </c>
      <c r="D34" s="60"/>
      <c r="E34" s="34">
        <v>118</v>
      </c>
    </row>
    <row r="35" spans="1:5" ht="46.5" customHeight="1" x14ac:dyDescent="0.2">
      <c r="A35" s="31"/>
      <c r="B35" s="51" t="s">
        <v>24</v>
      </c>
      <c r="C35" s="93" t="s">
        <v>125</v>
      </c>
      <c r="D35" s="94"/>
      <c r="E35" s="34">
        <v>170</v>
      </c>
    </row>
    <row r="36" spans="1:5" ht="42.75" customHeight="1" x14ac:dyDescent="0.2">
      <c r="A36" s="31"/>
      <c r="B36" s="51" t="s">
        <v>80</v>
      </c>
      <c r="C36" s="93" t="s">
        <v>121</v>
      </c>
      <c r="D36" s="95"/>
      <c r="E36" s="34">
        <v>800</v>
      </c>
    </row>
    <row r="37" spans="1:5" ht="33.75" customHeight="1" x14ac:dyDescent="0.2">
      <c r="A37" s="6"/>
      <c r="B37" s="51" t="s">
        <v>28</v>
      </c>
      <c r="C37" s="91" t="s">
        <v>126</v>
      </c>
      <c r="D37" s="60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63" t="s">
        <v>40</v>
      </c>
      <c r="B40" s="63"/>
      <c r="C40" s="63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64" t="s">
        <v>41</v>
      </c>
      <c r="B42" s="64"/>
      <c r="C42" s="64"/>
    </row>
    <row r="43" spans="1:5" ht="13.5" customHeight="1" x14ac:dyDescent="0.2">
      <c r="A43" s="51" t="s">
        <v>17</v>
      </c>
      <c r="B43" s="51" t="s">
        <v>118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65" t="s">
        <v>47</v>
      </c>
      <c r="B47" s="65"/>
      <c r="C47" s="65"/>
    </row>
    <row r="48" spans="1:5" ht="13.5" customHeight="1" x14ac:dyDescent="0.2">
      <c r="A48" s="65"/>
      <c r="B48" s="65"/>
      <c r="C48" s="65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64" t="s">
        <v>53</v>
      </c>
      <c r="B54" s="64"/>
      <c r="C54" s="64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64" t="s">
        <v>59</v>
      </c>
      <c r="B58" s="64"/>
      <c r="C58" s="64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64" t="s">
        <v>63</v>
      </c>
      <c r="B61" s="64"/>
      <c r="C61" s="64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66" t="s">
        <v>67</v>
      </c>
      <c r="B64" s="66"/>
      <c r="C64" s="66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66" t="s">
        <v>79</v>
      </c>
      <c r="B72" s="66"/>
      <c r="C72" s="66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7" t="s">
        <v>83</v>
      </c>
      <c r="B79" s="67"/>
      <c r="C79" s="67"/>
      <c r="D79" s="67"/>
      <c r="E79" s="67"/>
    </row>
    <row r="80" spans="1:8" ht="13.5" customHeight="1" x14ac:dyDescent="0.2">
      <c r="A80" s="68" t="s">
        <v>84</v>
      </c>
      <c r="B80" s="68"/>
      <c r="C80" s="68" t="s">
        <v>11</v>
      </c>
      <c r="D80" s="68"/>
      <c r="E80" s="45" t="s">
        <v>12</v>
      </c>
    </row>
    <row r="81" spans="1:5" ht="24" customHeight="1" x14ac:dyDescent="0.2">
      <c r="A81" s="96" t="s">
        <v>85</v>
      </c>
      <c r="B81" s="96"/>
      <c r="C81" s="70"/>
      <c r="D81" s="70"/>
      <c r="E81" s="7">
        <v>21.98</v>
      </c>
    </row>
    <row r="82" spans="1:5" x14ac:dyDescent="0.2">
      <c r="A82" s="70" t="s">
        <v>67</v>
      </c>
      <c r="B82" s="70"/>
      <c r="C82" s="97" t="s">
        <v>86</v>
      </c>
      <c r="D82" s="97"/>
      <c r="E82" s="46">
        <v>168</v>
      </c>
    </row>
    <row r="83" spans="1:5" ht="220.5" customHeight="1" x14ac:dyDescent="0.2">
      <c r="A83" s="70"/>
      <c r="B83" s="70"/>
      <c r="C83" s="97" t="s">
        <v>87</v>
      </c>
      <c r="D83" s="97"/>
      <c r="E83" s="46">
        <v>507.7</v>
      </c>
    </row>
    <row r="84" spans="1:5" x14ac:dyDescent="0.2">
      <c r="A84" s="70"/>
      <c r="B84" s="70"/>
      <c r="C84" s="97" t="s">
        <v>88</v>
      </c>
      <c r="D84" s="97"/>
      <c r="E84" s="46">
        <v>1728</v>
      </c>
    </row>
    <row r="85" spans="1:5" ht="17.25" customHeight="1" x14ac:dyDescent="0.2">
      <c r="A85" s="70"/>
      <c r="B85" s="70"/>
      <c r="C85" s="98" t="s">
        <v>89</v>
      </c>
      <c r="D85" s="98"/>
      <c r="E85" s="46">
        <v>50</v>
      </c>
    </row>
    <row r="86" spans="1:5" ht="17.25" customHeight="1" x14ac:dyDescent="0.2">
      <c r="A86" s="70"/>
      <c r="B86" s="70"/>
      <c r="C86" s="75" t="s">
        <v>90</v>
      </c>
      <c r="D86" s="75"/>
      <c r="E86" s="46">
        <v>418</v>
      </c>
    </row>
    <row r="87" spans="1:5" ht="17.25" customHeight="1" x14ac:dyDescent="0.2">
      <c r="A87" s="70"/>
      <c r="B87" s="70"/>
      <c r="C87" s="98" t="s">
        <v>91</v>
      </c>
      <c r="D87" s="98"/>
      <c r="E87" s="46">
        <v>697</v>
      </c>
    </row>
    <row r="88" spans="1:5" ht="42" customHeight="1" x14ac:dyDescent="0.2">
      <c r="A88" s="70"/>
      <c r="B88" s="70"/>
      <c r="C88" s="97" t="s">
        <v>92</v>
      </c>
      <c r="D88" s="97"/>
      <c r="E88" s="46">
        <v>5.4</v>
      </c>
    </row>
    <row r="89" spans="1:5" ht="17.25" customHeight="1" x14ac:dyDescent="0.2">
      <c r="A89" s="70"/>
      <c r="B89" s="70"/>
      <c r="C89" s="75" t="s">
        <v>93</v>
      </c>
      <c r="D89" s="75"/>
      <c r="E89" s="46">
        <v>136</v>
      </c>
    </row>
    <row r="90" spans="1:5" ht="17.25" customHeight="1" x14ac:dyDescent="0.2">
      <c r="A90" s="70"/>
      <c r="B90" s="70"/>
      <c r="C90" s="75" t="s">
        <v>94</v>
      </c>
      <c r="D90" s="75"/>
      <c r="E90" s="46">
        <v>112.3</v>
      </c>
    </row>
    <row r="91" spans="1:5" ht="17.25" customHeight="1" x14ac:dyDescent="0.2">
      <c r="A91" s="70"/>
      <c r="B91" s="70"/>
      <c r="C91" s="99" t="s">
        <v>95</v>
      </c>
      <c r="D91" s="99"/>
      <c r="E91" s="46">
        <v>366.38</v>
      </c>
    </row>
    <row r="92" spans="1:5" ht="13.5" customHeight="1" x14ac:dyDescent="0.2">
      <c r="A92" s="71" t="s">
        <v>96</v>
      </c>
      <c r="B92" s="71"/>
      <c r="C92" s="76"/>
      <c r="D92" s="76"/>
      <c r="E92" s="47">
        <f>C76</f>
        <v>1367</v>
      </c>
    </row>
    <row r="93" spans="1:5" ht="13.5" customHeight="1" x14ac:dyDescent="0.2">
      <c r="C93" s="77" t="s">
        <v>97</v>
      </c>
      <c r="D93" s="77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7" t="s">
        <v>98</v>
      </c>
      <c r="B95" s="67"/>
      <c r="C95" s="67"/>
      <c r="D95" s="67"/>
      <c r="E95" s="67"/>
    </row>
    <row r="96" spans="1:5" ht="13.5" customHeight="1" x14ac:dyDescent="0.2">
      <c r="A96" s="67" t="s">
        <v>84</v>
      </c>
      <c r="B96" s="67"/>
      <c r="C96" s="67" t="s">
        <v>11</v>
      </c>
      <c r="D96" s="67"/>
      <c r="E96" s="44" t="s">
        <v>12</v>
      </c>
    </row>
    <row r="97" spans="1:5" ht="13.5" customHeight="1" x14ac:dyDescent="0.2">
      <c r="A97" s="69" t="s">
        <v>99</v>
      </c>
      <c r="B97" s="69"/>
      <c r="C97" s="78"/>
      <c r="D97" s="78"/>
      <c r="E97" s="48">
        <f>E93</f>
        <v>-31.199999999999818</v>
      </c>
    </row>
    <row r="98" spans="1:5" ht="45.75" customHeight="1" x14ac:dyDescent="0.2">
      <c r="A98" s="70" t="s">
        <v>67</v>
      </c>
      <c r="B98" s="70"/>
      <c r="C98" s="74" t="s">
        <v>100</v>
      </c>
      <c r="D98" s="74"/>
      <c r="E98" s="49">
        <v>747.6</v>
      </c>
    </row>
    <row r="99" spans="1:5" ht="409" customHeight="1" x14ac:dyDescent="0.2">
      <c r="A99" s="70"/>
      <c r="B99" s="70"/>
      <c r="C99" s="72" t="s">
        <v>119</v>
      </c>
      <c r="D99" s="72"/>
      <c r="E99" s="49">
        <v>900.2</v>
      </c>
    </row>
    <row r="100" spans="1:5" ht="73.5" customHeight="1" x14ac:dyDescent="0.2">
      <c r="A100" s="70"/>
      <c r="B100" s="70"/>
      <c r="C100" s="72" t="s">
        <v>117</v>
      </c>
      <c r="D100" s="72"/>
      <c r="E100" s="49">
        <v>656.4</v>
      </c>
    </row>
    <row r="101" spans="1:5" ht="118.5" customHeight="1" x14ac:dyDescent="0.2">
      <c r="A101" s="70"/>
      <c r="B101" s="70"/>
      <c r="C101" s="72" t="s">
        <v>116</v>
      </c>
      <c r="D101" s="72"/>
      <c r="E101" s="49">
        <v>167.4</v>
      </c>
    </row>
    <row r="102" spans="1:5" ht="129.75" customHeight="1" x14ac:dyDescent="0.2">
      <c r="A102" s="70"/>
      <c r="B102" s="70"/>
      <c r="C102" s="83" t="s">
        <v>101</v>
      </c>
      <c r="D102" s="100"/>
      <c r="E102" s="49">
        <v>1109</v>
      </c>
    </row>
    <row r="103" spans="1:5" ht="13.5" customHeight="1" x14ac:dyDescent="0.2">
      <c r="A103" s="70" t="s">
        <v>96</v>
      </c>
      <c r="B103" s="70"/>
      <c r="C103" s="78"/>
      <c r="D103" s="78"/>
      <c r="E103" s="46">
        <f>C76</f>
        <v>1367</v>
      </c>
    </row>
    <row r="104" spans="1:5" ht="13.5" customHeight="1" x14ac:dyDescent="0.2">
      <c r="C104" s="81" t="s">
        <v>97</v>
      </c>
      <c r="D104" s="81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82" t="s">
        <v>102</v>
      </c>
      <c r="B107" s="82"/>
      <c r="C107" s="82"/>
      <c r="D107" s="82"/>
      <c r="E107" s="82"/>
    </row>
    <row r="108" spans="1:5" ht="13.5" customHeight="1" x14ac:dyDescent="0.2">
      <c r="A108" s="67" t="s">
        <v>84</v>
      </c>
      <c r="B108" s="67"/>
      <c r="C108" s="67" t="s">
        <v>11</v>
      </c>
      <c r="D108" s="67"/>
      <c r="E108" s="44" t="s">
        <v>12</v>
      </c>
    </row>
    <row r="109" spans="1:5" ht="13.5" customHeight="1" x14ac:dyDescent="0.2">
      <c r="A109" s="69" t="s">
        <v>103</v>
      </c>
      <c r="B109" s="69"/>
      <c r="C109" s="78"/>
      <c r="D109" s="78"/>
      <c r="E109" s="48">
        <f>E104</f>
        <v>228.5</v>
      </c>
    </row>
    <row r="110" spans="1:5" ht="333" customHeight="1" x14ac:dyDescent="0.2">
      <c r="A110" s="101" t="s">
        <v>67</v>
      </c>
      <c r="B110" s="102"/>
      <c r="C110" s="92" t="s">
        <v>123</v>
      </c>
      <c r="D110" s="92"/>
      <c r="E110" s="46">
        <v>870.3</v>
      </c>
    </row>
    <row r="111" spans="1:5" ht="152" customHeight="1" x14ac:dyDescent="0.2">
      <c r="A111" s="103"/>
      <c r="B111" s="104"/>
      <c r="C111" s="107" t="s">
        <v>122</v>
      </c>
      <c r="D111" s="108"/>
      <c r="E111" s="46">
        <v>1428</v>
      </c>
    </row>
    <row r="112" spans="1:5" ht="151" customHeight="1" x14ac:dyDescent="0.2">
      <c r="A112" s="105"/>
      <c r="B112" s="106"/>
      <c r="C112" s="83" t="s">
        <v>127</v>
      </c>
      <c r="D112" s="100"/>
      <c r="E112" s="46">
        <v>225.5</v>
      </c>
    </row>
    <row r="113" spans="1:5" ht="13.5" customHeight="1" x14ac:dyDescent="0.2">
      <c r="A113" s="70" t="s">
        <v>96</v>
      </c>
      <c r="B113" s="70"/>
      <c r="C113" s="78"/>
      <c r="D113" s="78"/>
      <c r="E113" s="46">
        <f>C76</f>
        <v>1367</v>
      </c>
    </row>
    <row r="114" spans="1:5" ht="13.5" customHeight="1" x14ac:dyDescent="0.2">
      <c r="C114" s="81" t="s">
        <v>97</v>
      </c>
      <c r="D114" s="81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G82" sqref="G8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5" t="s">
        <v>104</v>
      </c>
      <c r="B1" s="55"/>
      <c r="C1" s="55"/>
      <c r="D1" s="55"/>
      <c r="E1" s="5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6" t="s">
        <v>105</v>
      </c>
      <c r="B10" s="56"/>
      <c r="C10" s="56"/>
      <c r="D10" s="56"/>
      <c r="E10" s="5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7" t="s">
        <v>11</v>
      </c>
      <c r="D11" s="57"/>
      <c r="E11" s="4" t="s">
        <v>12</v>
      </c>
    </row>
    <row r="12" spans="1:25" ht="13.5" customHeight="1" x14ac:dyDescent="0.2">
      <c r="A12" s="52" t="s">
        <v>106</v>
      </c>
      <c r="B12" s="52" t="s">
        <v>14</v>
      </c>
      <c r="C12" s="58" t="s">
        <v>15</v>
      </c>
      <c r="D12" s="58"/>
      <c r="E12" s="53">
        <v>2485</v>
      </c>
    </row>
    <row r="13" spans="1:25" ht="13.5" customHeight="1" x14ac:dyDescent="0.2">
      <c r="A13" s="6" t="s">
        <v>129</v>
      </c>
      <c r="B13" s="6" t="s">
        <v>75</v>
      </c>
      <c r="C13" s="60" t="s">
        <v>130</v>
      </c>
      <c r="D13" s="60"/>
      <c r="E13" s="30">
        <v>55</v>
      </c>
    </row>
    <row r="14" spans="1:25" ht="16" x14ac:dyDescent="0.2">
      <c r="A14" s="51" t="s">
        <v>133</v>
      </c>
      <c r="B14" s="51" t="s">
        <v>24</v>
      </c>
      <c r="C14" s="59" t="s">
        <v>134</v>
      </c>
      <c r="D14" s="60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61" t="s">
        <v>107</v>
      </c>
      <c r="B17" s="61"/>
      <c r="C17" s="61"/>
      <c r="D17" s="61"/>
      <c r="E17" s="6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62" t="s">
        <v>11</v>
      </c>
      <c r="D18" s="62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60" t="s">
        <v>15</v>
      </c>
      <c r="D19" s="60"/>
      <c r="E19" s="30">
        <v>2485</v>
      </c>
    </row>
    <row r="20" spans="1:25" ht="13.5" customHeight="1" x14ac:dyDescent="0.2">
      <c r="A20" s="6"/>
      <c r="B20" s="6"/>
      <c r="C20" s="60"/>
      <c r="D20" s="60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61" t="s">
        <v>108</v>
      </c>
      <c r="B23" s="61"/>
      <c r="C23" s="61"/>
      <c r="D23" s="61"/>
      <c r="E23" s="6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62" t="s">
        <v>11</v>
      </c>
      <c r="D24" s="62"/>
      <c r="E24" s="2" t="s">
        <v>12</v>
      </c>
    </row>
    <row r="25" spans="1:25" ht="13.5" customHeight="1" x14ac:dyDescent="0.2">
      <c r="A25" s="6" t="s">
        <v>106</v>
      </c>
      <c r="B25" s="6" t="s">
        <v>14</v>
      </c>
      <c r="C25" s="60" t="s">
        <v>15</v>
      </c>
      <c r="D25" s="60"/>
      <c r="E25" s="34">
        <v>2485</v>
      </c>
    </row>
    <row r="26" spans="1:25" ht="13.5" customHeight="1" x14ac:dyDescent="0.2">
      <c r="A26" s="6"/>
      <c r="B26" s="6"/>
      <c r="C26" s="60"/>
      <c r="D26" s="60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63" t="s">
        <v>109</v>
      </c>
      <c r="B29" s="63"/>
      <c r="C29" s="63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64" t="s">
        <v>41</v>
      </c>
      <c r="B31" s="64"/>
      <c r="C31" s="64"/>
    </row>
    <row r="32" spans="1:25" ht="13.5" customHeight="1" x14ac:dyDescent="0.2">
      <c r="A32" s="51" t="s">
        <v>17</v>
      </c>
      <c r="B32" s="51" t="s">
        <v>118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65" t="s">
        <v>47</v>
      </c>
      <c r="B36" s="65"/>
      <c r="C36" s="65"/>
    </row>
    <row r="37" spans="1:3" ht="13.5" customHeight="1" x14ac:dyDescent="0.2">
      <c r="A37" s="65"/>
      <c r="B37" s="65"/>
      <c r="C37" s="65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64" t="s">
        <v>53</v>
      </c>
      <c r="B43" s="64"/>
      <c r="C43" s="64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64" t="s">
        <v>59</v>
      </c>
      <c r="B47" s="64"/>
      <c r="C47" s="64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64" t="s">
        <v>63</v>
      </c>
      <c r="B50" s="64"/>
      <c r="C50" s="64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66" t="s">
        <v>67</v>
      </c>
      <c r="B53" s="66"/>
      <c r="C53" s="66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66" t="s">
        <v>79</v>
      </c>
      <c r="B61" s="66"/>
      <c r="C61" s="66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7" t="s">
        <v>110</v>
      </c>
      <c r="B68" s="67"/>
      <c r="C68" s="67"/>
      <c r="D68" s="67"/>
      <c r="E68" s="67"/>
    </row>
    <row r="69" spans="1:8" ht="13.5" customHeight="1" x14ac:dyDescent="0.2">
      <c r="A69" s="68" t="s">
        <v>84</v>
      </c>
      <c r="B69" s="68"/>
      <c r="C69" s="68" t="s">
        <v>11</v>
      </c>
      <c r="D69" s="68"/>
      <c r="E69" s="45" t="s">
        <v>12</v>
      </c>
    </row>
    <row r="70" spans="1:8" ht="24" customHeight="1" x14ac:dyDescent="0.2">
      <c r="A70" s="69" t="s">
        <v>111</v>
      </c>
      <c r="B70" s="69"/>
      <c r="C70" s="70"/>
      <c r="D70" s="70"/>
      <c r="E70" s="48">
        <f>'April 2026 - June 2026'!E114</f>
        <v>110.69999999999982</v>
      </c>
    </row>
    <row r="71" spans="1:8" ht="39" customHeight="1" x14ac:dyDescent="0.2">
      <c r="A71" s="71" t="s">
        <v>67</v>
      </c>
      <c r="B71" s="71"/>
      <c r="C71" s="72" t="s">
        <v>128</v>
      </c>
      <c r="D71" s="72"/>
      <c r="E71" s="46">
        <v>600</v>
      </c>
    </row>
    <row r="72" spans="1:8" ht="224" customHeight="1" x14ac:dyDescent="0.2">
      <c r="A72" s="71"/>
      <c r="B72" s="71"/>
      <c r="C72" s="73" t="s">
        <v>131</v>
      </c>
      <c r="D72" s="74"/>
      <c r="E72" s="46">
        <v>422.2</v>
      </c>
    </row>
    <row r="73" spans="1:8" ht="91" customHeight="1" x14ac:dyDescent="0.2">
      <c r="A73" s="71"/>
      <c r="B73" s="71"/>
      <c r="C73" s="73" t="s">
        <v>132</v>
      </c>
      <c r="D73" s="75"/>
      <c r="E73" s="46">
        <v>424.5</v>
      </c>
    </row>
    <row r="74" spans="1:8" ht="13.5" customHeight="1" x14ac:dyDescent="0.2">
      <c r="A74" s="71" t="s">
        <v>96</v>
      </c>
      <c r="B74" s="71"/>
      <c r="C74" s="76"/>
      <c r="D74" s="76"/>
      <c r="E74" s="47">
        <f>C65</f>
        <v>1171</v>
      </c>
    </row>
    <row r="75" spans="1:8" ht="13.5" customHeight="1" x14ac:dyDescent="0.2">
      <c r="C75" s="77" t="s">
        <v>97</v>
      </c>
      <c r="D75" s="77"/>
      <c r="E75" s="48">
        <f>(E15+E70)-SUM(E71:E74)</f>
        <v>133</v>
      </c>
    </row>
    <row r="76" spans="1:8" ht="13.5" customHeight="1" x14ac:dyDescent="0.2"/>
    <row r="77" spans="1:8" ht="13.5" customHeight="1" x14ac:dyDescent="0.2">
      <c r="A77" s="67" t="s">
        <v>112</v>
      </c>
      <c r="B77" s="67"/>
      <c r="C77" s="67"/>
      <c r="D77" s="67"/>
      <c r="E77" s="67"/>
    </row>
    <row r="78" spans="1:8" ht="13.5" customHeight="1" x14ac:dyDescent="0.2">
      <c r="A78" s="67" t="s">
        <v>84</v>
      </c>
      <c r="B78" s="67"/>
      <c r="C78" s="67" t="s">
        <v>11</v>
      </c>
      <c r="D78" s="67"/>
      <c r="E78" s="44" t="s">
        <v>12</v>
      </c>
    </row>
    <row r="79" spans="1:8" ht="13.5" customHeight="1" x14ac:dyDescent="0.2">
      <c r="A79" s="69" t="s">
        <v>113</v>
      </c>
      <c r="B79" s="69"/>
      <c r="C79" s="78"/>
      <c r="D79" s="78"/>
      <c r="E79" s="48">
        <f>E75</f>
        <v>133</v>
      </c>
    </row>
    <row r="80" spans="1:8" ht="13.5" customHeight="1" x14ac:dyDescent="0.2">
      <c r="A80" s="54"/>
      <c r="B80" s="54"/>
      <c r="C80" s="79" t="s">
        <v>135</v>
      </c>
      <c r="D80" s="80"/>
      <c r="E80" s="49">
        <v>0</v>
      </c>
    </row>
    <row r="81" spans="1:5" ht="39.75" customHeight="1" x14ac:dyDescent="0.2">
      <c r="A81" s="7" t="s">
        <v>67</v>
      </c>
      <c r="B81" s="7"/>
      <c r="C81" s="72" t="s">
        <v>124</v>
      </c>
      <c r="D81" s="72"/>
      <c r="E81" s="49">
        <v>0</v>
      </c>
    </row>
    <row r="82" spans="1:5" ht="46" customHeight="1" x14ac:dyDescent="0.2">
      <c r="A82" s="7"/>
      <c r="B82" s="7"/>
      <c r="C82" s="83"/>
      <c r="D82" s="84"/>
      <c r="E82" s="49">
        <v>0</v>
      </c>
    </row>
    <row r="83" spans="1:5" ht="13.5" customHeight="1" x14ac:dyDescent="0.2">
      <c r="A83" s="7"/>
      <c r="B83" s="7"/>
      <c r="C83" s="84"/>
      <c r="D83" s="84"/>
      <c r="E83" s="49">
        <v>0</v>
      </c>
    </row>
    <row r="84" spans="1:5" ht="19.5" customHeight="1" x14ac:dyDescent="0.2">
      <c r="A84" s="70" t="s">
        <v>96</v>
      </c>
      <c r="B84" s="70"/>
      <c r="C84" s="78"/>
      <c r="D84" s="78"/>
      <c r="E84" s="46">
        <f>C65</f>
        <v>1171</v>
      </c>
    </row>
    <row r="85" spans="1:5" ht="13.5" customHeight="1" x14ac:dyDescent="0.2">
      <c r="C85" s="81" t="s">
        <v>97</v>
      </c>
      <c r="D85" s="81"/>
      <c r="E85" s="48">
        <f>(E21+E79)-SUM(E80:E84)</f>
        <v>1447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82" t="s">
        <v>114</v>
      </c>
      <c r="B88" s="82"/>
      <c r="C88" s="82"/>
      <c r="D88" s="82"/>
      <c r="E88" s="82"/>
    </row>
    <row r="89" spans="1:5" ht="13.5" customHeight="1" x14ac:dyDescent="0.2">
      <c r="A89" s="67" t="s">
        <v>84</v>
      </c>
      <c r="B89" s="67"/>
      <c r="C89" s="67" t="s">
        <v>11</v>
      </c>
      <c r="D89" s="67"/>
      <c r="E89" s="44" t="s">
        <v>12</v>
      </c>
    </row>
    <row r="90" spans="1:5" ht="13.5" customHeight="1" x14ac:dyDescent="0.2">
      <c r="A90" s="69" t="s">
        <v>115</v>
      </c>
      <c r="B90" s="69"/>
      <c r="C90" s="78"/>
      <c r="D90" s="78"/>
      <c r="E90" s="48">
        <f>E85</f>
        <v>1447</v>
      </c>
    </row>
    <row r="91" spans="1:5" ht="45" customHeight="1" x14ac:dyDescent="0.2">
      <c r="A91" s="70" t="s">
        <v>67</v>
      </c>
      <c r="B91" s="70"/>
      <c r="C91" s="72" t="s">
        <v>124</v>
      </c>
      <c r="D91" s="72"/>
      <c r="E91" s="46">
        <v>0</v>
      </c>
    </row>
    <row r="92" spans="1:5" ht="13.5" customHeight="1" x14ac:dyDescent="0.2">
      <c r="A92" s="70" t="s">
        <v>96</v>
      </c>
      <c r="B92" s="70"/>
      <c r="C92" s="78"/>
      <c r="D92" s="78"/>
      <c r="E92" s="46">
        <f>C65</f>
        <v>1171</v>
      </c>
    </row>
    <row r="93" spans="1:5" ht="13.5" customHeight="1" x14ac:dyDescent="0.2">
      <c r="C93" s="81" t="s">
        <v>97</v>
      </c>
      <c r="D93" s="81"/>
      <c r="E93" s="48">
        <f>(E27+E90)-SUM(E91:E92)</f>
        <v>2761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6">
    <mergeCell ref="C93:D93"/>
    <mergeCell ref="A90:B90"/>
    <mergeCell ref="C90:D90"/>
    <mergeCell ref="A91:B91"/>
    <mergeCell ref="C91:D91"/>
    <mergeCell ref="A92:B92"/>
    <mergeCell ref="C92:D92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C75:D75"/>
    <mergeCell ref="A77:E77"/>
    <mergeCell ref="A78:B78"/>
    <mergeCell ref="C78:D78"/>
    <mergeCell ref="A79:B79"/>
    <mergeCell ref="C79:D79"/>
    <mergeCell ref="A71:B73"/>
    <mergeCell ref="C71:D71"/>
    <mergeCell ref="C72:D72"/>
    <mergeCell ref="C73:D73"/>
    <mergeCell ref="A74:B74"/>
    <mergeCell ref="C74:D74"/>
    <mergeCell ref="A61:C61"/>
    <mergeCell ref="A68:E68"/>
    <mergeCell ref="A69:B69"/>
    <mergeCell ref="C69:D69"/>
    <mergeCell ref="A70:B70"/>
    <mergeCell ref="C70:D70"/>
    <mergeCell ref="A36:C37"/>
    <mergeCell ref="A43:C43"/>
    <mergeCell ref="A47:C47"/>
    <mergeCell ref="A50:C50"/>
    <mergeCell ref="A53:C53"/>
    <mergeCell ref="C24:D24"/>
    <mergeCell ref="C25:D25"/>
    <mergeCell ref="C26:D26"/>
    <mergeCell ref="A29:C29"/>
    <mergeCell ref="A31:C31"/>
    <mergeCell ref="A17:E17"/>
    <mergeCell ref="C18:D18"/>
    <mergeCell ref="C19:D19"/>
    <mergeCell ref="C20:D20"/>
    <mergeCell ref="A23:E23"/>
    <mergeCell ref="A1:E1"/>
    <mergeCell ref="A10:E10"/>
    <mergeCell ref="C11:D11"/>
    <mergeCell ref="C12:D12"/>
    <mergeCell ref="C14:D14"/>
    <mergeCell ref="C13:D13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2026-08-07T21:44:54Z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