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1A976F9A-FF4C-A74A-8BFD-856BF1101A7A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7" i="2" l="1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2" i="2"/>
  <c r="C66" i="2"/>
  <c r="C62" i="2"/>
  <c r="C54" i="2"/>
  <c r="C51" i="2"/>
  <c r="C48" i="2"/>
  <c r="C44" i="2"/>
  <c r="C37" i="2"/>
  <c r="E29" i="2"/>
  <c r="E23" i="2"/>
  <c r="E15" i="2"/>
  <c r="C5" i="2"/>
  <c r="C3" i="2"/>
  <c r="C67" i="2" l="1"/>
  <c r="E76" i="2" s="1"/>
  <c r="E77" i="2" s="1"/>
  <c r="E81" i="2" s="1"/>
  <c r="E86" i="2" l="1"/>
  <c r="E97" i="2"/>
  <c r="E87" i="2"/>
  <c r="E92" i="2" s="1"/>
  <c r="E98" i="2" s="1"/>
</calcChain>
</file>

<file path=xl/sharedStrings.xml><?xml version="1.0" encoding="utf-8"?>
<sst xmlns="http://schemas.openxmlformats.org/spreadsheetml/2006/main" count="296" uniqueCount="150">
  <si>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</si>
  <si>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</si>
  <si>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</si>
  <si>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</si>
  <si>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</si>
  <si>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</si>
  <si>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</si>
  <si>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</si>
  <si>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</si>
  <si>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</si>
  <si>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</si>
  <si>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</si>
  <si>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</si>
  <si>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</si>
  <si>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</si>
  <si>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</si>
  <si>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</si>
  <si>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</si>
  <si>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</si>
  <si>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</si>
  <si>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</si>
  <si>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</si>
  <si>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</si>
  <si>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</si>
  <si>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</si>
  <si>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</si>
  <si>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</si>
  <si>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</si>
  <si>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</si>
  <si>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</si>
  <si>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</si>
  <si>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</si>
  <si>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</si>
  <si>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</si>
  <si>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</si>
  <si>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</si>
  <si>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</si>
  <si>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</si>
  <si>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</si>
  <si>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</si>
  <si>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</si>
  <si>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</si>
  <si>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</si>
  <si>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</si>
  <si>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</si>
  <si>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</si>
  <si>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</si>
  <si>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</si>
  <si>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</si>
  <si>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</si>
  <si>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</si>
  <si>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</si>
  <si>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</si>
  <si>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</si>
  <si>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</si>
  <si>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</si>
  <si>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</si>
  <si>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</si>
  <si>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</si>
  <si>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</si>
  <si>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</si>
  <si>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</si>
  <si>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</si>
  <si>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</si>
  <si>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</si>
  <si>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</si>
  <si>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</si>
  <si>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</si>
  <si>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</si>
  <si>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</si>
  <si>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</si>
  <si>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</si>
  <si>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</si>
  <si>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</si>
  <si>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</si>
  <si>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</si>
  <si>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</si>
  <si>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</si>
  <si>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</si>
  <si>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</si>
  <si>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</si>
  <si>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</si>
  <si>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</si>
  <si>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</si>
  <si>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</si>
  <si>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</si>
  <si>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</si>
  <si>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</si>
  <si>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</si>
  <si>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</si>
  <si>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</si>
  <si>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</si>
  <si>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</si>
  <si>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</si>
  <si>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</si>
  <si>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</si>
  <si>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</si>
  <si>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</si>
  <si>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</si>
  <si>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</si>
  <si>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</si>
  <si>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</si>
  <si>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</si>
  <si>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</si>
  <si>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</si>
  <si>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</si>
  <si>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</si>
  <si>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</si>
  <si>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</si>
  <si>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</si>
  <si>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</si>
  <si>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</si>
  <si>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</si>
  <si>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</si>
  <si>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</si>
  <si>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</si>
  <si>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</si>
  <si>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</si>
  <si>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</si>
  <si>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</si>
  <si>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</si>
  <si>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</si>
  <si>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</si>
  <si>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</si>
  <si>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</si>
  <si>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</si>
  <si>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</si>
  <si>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</si>
  <si>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</si>
  <si>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</si>
  <si>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</si>
  <si>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</si>
  <si>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</si>
  <si>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20th September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</si>
  <si>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</si>
  <si>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</si>
  <si>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Payback $100 to Mom
~ Payback $670.4 to Mom (HKTVmall Online Shopping)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</si>
  <si>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</si>
  <si>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1. Top up $50 for Octopus</t>
  </si>
  <si>
    <t>23rd August 2026</t>
  </si>
  <si>
    <t>Alipay</t>
  </si>
  <si>
    <t>A discount of $3.08 for iHerb payment</t>
  </si>
  <si>
    <t>~ iHerb Aveeno Lotion 23/08 - $136.64</t>
  </si>
  <si>
    <t>Partial Food And Snack Prepaid on the Previous Month
~ Food
   ~ HKTV mall 24/08 - $211.4
~ Snack And Drinks
   ~ OK Store 20/08 - $8.5</t>
  </si>
  <si>
    <t>2nd September 2026</t>
  </si>
  <si>
    <t>1. Borrow $60</t>
  </si>
  <si>
    <t>~ Payback $60 to Mom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</si>
  <si>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</t>
  </si>
  <si>
    <t>~ Additional transport fees for e-cigarette 17/09 - $50
~ Round Trip to East Kowloon hospital 02/10 - $4
~ Revlon color silk 17/09 - $59.9</t>
  </si>
  <si>
    <t>~ Uniqlo (buy $300 - $30 discount)  - 17/09
    ~ UNISEX CHINO SHORTS (INSEAM 20-23.5cm) 482944 - $99
    ~ UNISEX REGULAR CHINO PANTS (INSEAM 74-77cm) 482880 / 487213 -$99
    ~ MEN COTTON BOXER BRIEFS 482598 - $29 x 2
    ~ MEN BRIEF 486880 - $49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</si>
</sst>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4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opLeftCell="A48" zoomScale="150" zoomScaleNormal="150" workbookViewId="0">
      <selection activeCell="D74" sqref="D74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5" t="s">
        <v>0</v>
      </c>
      <c r="B1" s="55"/>
      <c r="C1" s="55"/>
      <c r="D1" s="55"/>
      <c r="E1" s="55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62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1.44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2.8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66.239999999999995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6" t="s">
        <v>8</v>
      </c>
      <c r="B10" s="56"/>
      <c r="C10" s="56"/>
      <c r="D10" s="56"/>
      <c r="E10" s="56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7" t="s">
        <v>11</v>
      </c>
      <c r="D11" s="57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98" t="s">
        <v>15</v>
      </c>
      <c r="D12" s="98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99" t="s">
        <v>17</v>
      </c>
      <c r="D13" s="99"/>
      <c r="E13" s="18">
        <v>12</v>
      </c>
    </row>
    <row r="14" spans="1:25" ht="29.25" customHeight="1" x14ac:dyDescent="0.2">
      <c r="A14" s="6"/>
      <c r="B14" s="6" t="s">
        <v>18</v>
      </c>
      <c r="C14" s="60" t="s">
        <v>19</v>
      </c>
      <c r="D14" s="60"/>
      <c r="E14" s="19">
        <v>900</v>
      </c>
    </row>
    <row r="15" spans="1:25" ht="29.25" customHeight="1" x14ac:dyDescent="0.2">
      <c r="A15" s="6"/>
      <c r="B15" s="6" t="s">
        <v>20</v>
      </c>
      <c r="C15" s="60" t="s">
        <v>21</v>
      </c>
      <c r="D15" s="60"/>
      <c r="E15" s="19">
        <v>1050</v>
      </c>
    </row>
    <row r="16" spans="1:25" ht="29.25" customHeight="1" x14ac:dyDescent="0.2">
      <c r="A16" s="6"/>
      <c r="B16" s="6" t="s">
        <v>22</v>
      </c>
      <c r="C16" s="60" t="s">
        <v>23</v>
      </c>
      <c r="D16" s="60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00" t="s">
        <v>25</v>
      </c>
      <c r="D17" s="100"/>
      <c r="E17" s="21">
        <v>187.6</v>
      </c>
    </row>
    <row r="18" spans="1:25" ht="29.25" customHeight="1" x14ac:dyDescent="0.2">
      <c r="A18" s="22"/>
      <c r="B18" s="6" t="s">
        <v>16</v>
      </c>
      <c r="C18" s="101" t="s">
        <v>26</v>
      </c>
      <c r="D18" s="101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02" t="s">
        <v>29</v>
      </c>
      <c r="D19" s="102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61" t="s">
        <v>31</v>
      </c>
      <c r="B22" s="61"/>
      <c r="C22" s="61"/>
      <c r="D22" s="61"/>
      <c r="E22" s="6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03" t="s">
        <v>11</v>
      </c>
      <c r="D23" s="103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60" t="s">
        <v>15</v>
      </c>
      <c r="D24" s="60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60" t="s">
        <v>34</v>
      </c>
      <c r="D25" s="60"/>
      <c r="E25" s="19">
        <v>2140</v>
      </c>
    </row>
    <row r="26" spans="1:25" ht="60.75" customHeight="1" x14ac:dyDescent="0.2">
      <c r="A26" s="30"/>
      <c r="B26" s="6" t="s">
        <v>24</v>
      </c>
      <c r="C26" s="59" t="s">
        <v>114</v>
      </c>
      <c r="D26" s="100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01" t="s">
        <v>35</v>
      </c>
      <c r="D27" s="101"/>
      <c r="E27" s="19">
        <v>205</v>
      </c>
    </row>
    <row r="28" spans="1:25" ht="60.75" customHeight="1" x14ac:dyDescent="0.2">
      <c r="A28" s="30"/>
      <c r="B28" s="6" t="s">
        <v>28</v>
      </c>
      <c r="C28" s="104" t="s">
        <v>36</v>
      </c>
      <c r="D28" s="104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61" t="s">
        <v>37</v>
      </c>
      <c r="B31" s="61"/>
      <c r="C31" s="61"/>
      <c r="D31" s="61"/>
      <c r="E31" s="6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62" t="s">
        <v>11</v>
      </c>
      <c r="D32" s="62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60" t="s">
        <v>15</v>
      </c>
      <c r="D33" s="60"/>
      <c r="E33" s="33">
        <v>2485</v>
      </c>
    </row>
    <row r="34" spans="1:5" ht="13.5" customHeight="1" x14ac:dyDescent="0.2">
      <c r="A34" s="30"/>
      <c r="B34" s="6" t="s">
        <v>16</v>
      </c>
      <c r="C34" s="60" t="s">
        <v>39</v>
      </c>
      <c r="D34" s="60"/>
      <c r="E34" s="33">
        <v>118</v>
      </c>
    </row>
    <row r="35" spans="1:5" ht="46.5" customHeight="1" x14ac:dyDescent="0.2">
      <c r="A35" s="30"/>
      <c r="B35" s="50" t="s">
        <v>24</v>
      </c>
      <c r="C35" s="105" t="s">
        <v>119</v>
      </c>
      <c r="D35" s="66"/>
      <c r="E35" s="33">
        <v>170</v>
      </c>
    </row>
    <row r="36" spans="1:5" ht="42.75" customHeight="1" x14ac:dyDescent="0.2">
      <c r="A36" s="30"/>
      <c r="B36" s="50" t="s">
        <v>80</v>
      </c>
      <c r="C36" s="105" t="s">
        <v>115</v>
      </c>
      <c r="D36" s="106"/>
      <c r="E36" s="33">
        <v>800</v>
      </c>
    </row>
    <row r="37" spans="1:5" ht="33.75" customHeight="1" x14ac:dyDescent="0.2">
      <c r="A37" s="6"/>
      <c r="B37" s="50" t="s">
        <v>28</v>
      </c>
      <c r="C37" s="59" t="s">
        <v>120</v>
      </c>
      <c r="D37" s="60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69" t="s">
        <v>40</v>
      </c>
      <c r="B40" s="69"/>
      <c r="C40" s="69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70" t="s">
        <v>41</v>
      </c>
      <c r="B42" s="70"/>
      <c r="C42" s="70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71" t="s">
        <v>47</v>
      </c>
      <c r="B47" s="71"/>
      <c r="C47" s="71"/>
    </row>
    <row r="48" spans="1:5" ht="13.5" customHeight="1" x14ac:dyDescent="0.2">
      <c r="A48" s="71"/>
      <c r="B48" s="71"/>
      <c r="C48" s="71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70" t="s">
        <v>53</v>
      </c>
      <c r="B54" s="70"/>
      <c r="C54" s="70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70" t="s">
        <v>59</v>
      </c>
      <c r="B58" s="70"/>
      <c r="C58" s="70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70" t="s">
        <v>63</v>
      </c>
      <c r="B61" s="70"/>
      <c r="C61" s="70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72" t="s">
        <v>67</v>
      </c>
      <c r="B64" s="72"/>
      <c r="C64" s="72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72" t="s">
        <v>79</v>
      </c>
      <c r="B72" s="72"/>
      <c r="C72" s="72"/>
    </row>
    <row r="73" spans="1:8" ht="13.5" customHeight="1" x14ac:dyDescent="0.2">
      <c r="A73" s="7" t="s">
        <v>24</v>
      </c>
      <c r="B73" s="7"/>
      <c r="C73" s="19">
        <v>60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60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3" t="s">
        <v>126</v>
      </c>
      <c r="B79" s="73"/>
      <c r="C79" s="73"/>
      <c r="D79" s="73"/>
      <c r="E79" s="73"/>
    </row>
    <row r="80" spans="1:8" ht="13.5" customHeight="1" x14ac:dyDescent="0.2">
      <c r="A80" s="74" t="s">
        <v>83</v>
      </c>
      <c r="B80" s="74"/>
      <c r="C80" s="74" t="s">
        <v>11</v>
      </c>
      <c r="D80" s="74"/>
      <c r="E80" s="44" t="s">
        <v>12</v>
      </c>
    </row>
    <row r="81" spans="1:5" ht="24" customHeight="1" x14ac:dyDescent="0.2">
      <c r="A81" s="107" t="s">
        <v>84</v>
      </c>
      <c r="B81" s="107"/>
      <c r="C81" s="76"/>
      <c r="D81" s="76"/>
      <c r="E81" s="7">
        <v>21.98</v>
      </c>
    </row>
    <row r="82" spans="1:5" x14ac:dyDescent="0.2">
      <c r="A82" s="76" t="s">
        <v>67</v>
      </c>
      <c r="B82" s="76"/>
      <c r="C82" s="108" t="s">
        <v>85</v>
      </c>
      <c r="D82" s="108"/>
      <c r="E82" s="45">
        <v>168</v>
      </c>
    </row>
    <row r="83" spans="1:5" ht="220.5" customHeight="1" x14ac:dyDescent="0.2">
      <c r="A83" s="76"/>
      <c r="B83" s="76"/>
      <c r="C83" s="108" t="s">
        <v>86</v>
      </c>
      <c r="D83" s="108"/>
      <c r="E83" s="45">
        <v>507.7</v>
      </c>
    </row>
    <row r="84" spans="1:5" x14ac:dyDescent="0.2">
      <c r="A84" s="76"/>
      <c r="B84" s="76"/>
      <c r="C84" s="108" t="s">
        <v>87</v>
      </c>
      <c r="D84" s="108"/>
      <c r="E84" s="45">
        <v>1728</v>
      </c>
    </row>
    <row r="85" spans="1:5" ht="17.25" customHeight="1" x14ac:dyDescent="0.2">
      <c r="A85" s="76"/>
      <c r="B85" s="76"/>
      <c r="C85" s="109" t="s">
        <v>88</v>
      </c>
      <c r="D85" s="109"/>
      <c r="E85" s="45">
        <v>50</v>
      </c>
    </row>
    <row r="86" spans="1:5" ht="17.25" customHeight="1" x14ac:dyDescent="0.2">
      <c r="A86" s="76"/>
      <c r="B86" s="76"/>
      <c r="C86" s="81" t="s">
        <v>89</v>
      </c>
      <c r="D86" s="81"/>
      <c r="E86" s="45">
        <v>418</v>
      </c>
    </row>
    <row r="87" spans="1:5" ht="17.25" customHeight="1" x14ac:dyDescent="0.2">
      <c r="A87" s="76"/>
      <c r="B87" s="76"/>
      <c r="C87" s="109" t="s">
        <v>90</v>
      </c>
      <c r="D87" s="109"/>
      <c r="E87" s="45">
        <v>697</v>
      </c>
    </row>
    <row r="88" spans="1:5" ht="42" customHeight="1" x14ac:dyDescent="0.2">
      <c r="A88" s="76"/>
      <c r="B88" s="76"/>
      <c r="C88" s="108" t="s">
        <v>91</v>
      </c>
      <c r="D88" s="108"/>
      <c r="E88" s="45">
        <v>5.4</v>
      </c>
    </row>
    <row r="89" spans="1:5" ht="17.25" customHeight="1" x14ac:dyDescent="0.2">
      <c r="A89" s="76"/>
      <c r="B89" s="76"/>
      <c r="C89" s="81" t="s">
        <v>92</v>
      </c>
      <c r="D89" s="81"/>
      <c r="E89" s="45">
        <v>136</v>
      </c>
    </row>
    <row r="90" spans="1:5" ht="17.25" customHeight="1" x14ac:dyDescent="0.2">
      <c r="A90" s="76"/>
      <c r="B90" s="76"/>
      <c r="C90" s="81" t="s">
        <v>93</v>
      </c>
      <c r="D90" s="81"/>
      <c r="E90" s="45">
        <v>112.3</v>
      </c>
    </row>
    <row r="91" spans="1:5" ht="17.25" customHeight="1" x14ac:dyDescent="0.2">
      <c r="A91" s="76"/>
      <c r="B91" s="76"/>
      <c r="C91" s="110" t="s">
        <v>94</v>
      </c>
      <c r="D91" s="110"/>
      <c r="E91" s="45">
        <v>366.38</v>
      </c>
    </row>
    <row r="92" spans="1:5" ht="13.5" customHeight="1" x14ac:dyDescent="0.2">
      <c r="A92" s="77" t="s">
        <v>95</v>
      </c>
      <c r="B92" s="77"/>
      <c r="C92" s="82"/>
      <c r="D92" s="82"/>
      <c r="E92" s="46">
        <f>C76</f>
        <v>1367</v>
      </c>
    </row>
    <row r="93" spans="1:5" ht="13.5" customHeight="1" x14ac:dyDescent="0.2">
      <c r="C93" s="83" t="s">
        <v>96</v>
      </c>
      <c r="D93" s="83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3" t="s">
        <v>127</v>
      </c>
      <c r="B95" s="73"/>
      <c r="C95" s="73"/>
      <c r="D95" s="73"/>
      <c r="E95" s="73"/>
    </row>
    <row r="96" spans="1:5" ht="13.5" customHeight="1" x14ac:dyDescent="0.2">
      <c r="A96" s="73" t="s">
        <v>83</v>
      </c>
      <c r="B96" s="73"/>
      <c r="C96" s="73" t="s">
        <v>11</v>
      </c>
      <c r="D96" s="73"/>
      <c r="E96" s="43" t="s">
        <v>12</v>
      </c>
    </row>
    <row r="97" spans="1:5" ht="13.5" customHeight="1" x14ac:dyDescent="0.2">
      <c r="A97" s="75" t="s">
        <v>97</v>
      </c>
      <c r="B97" s="75"/>
      <c r="C97" s="84"/>
      <c r="D97" s="84"/>
      <c r="E97" s="47">
        <f>E93</f>
        <v>-31.199999999999818</v>
      </c>
    </row>
    <row r="98" spans="1:5" ht="45.75" customHeight="1" x14ac:dyDescent="0.2">
      <c r="A98" s="76" t="s">
        <v>67</v>
      </c>
      <c r="B98" s="76"/>
      <c r="C98" s="80" t="s">
        <v>98</v>
      </c>
      <c r="D98" s="80"/>
      <c r="E98" s="48">
        <v>747.6</v>
      </c>
    </row>
    <row r="99" spans="1:5" ht="409" customHeight="1" x14ac:dyDescent="0.2">
      <c r="A99" s="76"/>
      <c r="B99" s="76"/>
      <c r="C99" s="78" t="s">
        <v>113</v>
      </c>
      <c r="D99" s="78"/>
      <c r="E99" s="48">
        <v>900.2</v>
      </c>
    </row>
    <row r="100" spans="1:5" ht="73.5" customHeight="1" x14ac:dyDescent="0.2">
      <c r="A100" s="76"/>
      <c r="B100" s="76"/>
      <c r="C100" s="78" t="s">
        <v>111</v>
      </c>
      <c r="D100" s="78"/>
      <c r="E100" s="48">
        <v>656.4</v>
      </c>
    </row>
    <row r="101" spans="1:5" ht="118.5" customHeight="1" x14ac:dyDescent="0.2">
      <c r="A101" s="76"/>
      <c r="B101" s="76"/>
      <c r="C101" s="78" t="s">
        <v>110</v>
      </c>
      <c r="D101" s="78"/>
      <c r="E101" s="48">
        <v>167.4</v>
      </c>
    </row>
    <row r="102" spans="1:5" ht="129.75" customHeight="1" x14ac:dyDescent="0.2">
      <c r="A102" s="76"/>
      <c r="B102" s="76"/>
      <c r="C102" s="89" t="s">
        <v>99</v>
      </c>
      <c r="D102" s="111"/>
      <c r="E102" s="48">
        <v>1109</v>
      </c>
    </row>
    <row r="103" spans="1:5" ht="13.5" customHeight="1" x14ac:dyDescent="0.2">
      <c r="A103" s="76" t="s">
        <v>95</v>
      </c>
      <c r="B103" s="76"/>
      <c r="C103" s="84"/>
      <c r="D103" s="84"/>
      <c r="E103" s="45">
        <f>C76</f>
        <v>1367</v>
      </c>
    </row>
    <row r="104" spans="1:5" ht="13.5" customHeight="1" x14ac:dyDescent="0.2">
      <c r="C104" s="87" t="s">
        <v>96</v>
      </c>
      <c r="D104" s="87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88" t="s">
        <v>128</v>
      </c>
      <c r="B107" s="88"/>
      <c r="C107" s="88"/>
      <c r="D107" s="88"/>
      <c r="E107" s="88"/>
    </row>
    <row r="108" spans="1:5" ht="13.5" customHeight="1" x14ac:dyDescent="0.2">
      <c r="A108" s="73" t="s">
        <v>83</v>
      </c>
      <c r="B108" s="73"/>
      <c r="C108" s="73" t="s">
        <v>11</v>
      </c>
      <c r="D108" s="73"/>
      <c r="E108" s="43" t="s">
        <v>12</v>
      </c>
    </row>
    <row r="109" spans="1:5" ht="13.5" customHeight="1" x14ac:dyDescent="0.2">
      <c r="A109" s="75" t="s">
        <v>100</v>
      </c>
      <c r="B109" s="75"/>
      <c r="C109" s="84"/>
      <c r="D109" s="84"/>
      <c r="E109" s="47">
        <f>E104</f>
        <v>228.5</v>
      </c>
    </row>
    <row r="110" spans="1:5" ht="333" customHeight="1" x14ac:dyDescent="0.2">
      <c r="A110" s="92" t="s">
        <v>67</v>
      </c>
      <c r="B110" s="93"/>
      <c r="C110" s="104" t="s">
        <v>117</v>
      </c>
      <c r="D110" s="104"/>
      <c r="E110" s="45">
        <v>870.3</v>
      </c>
    </row>
    <row r="111" spans="1:5" ht="152" customHeight="1" x14ac:dyDescent="0.2">
      <c r="A111" s="94"/>
      <c r="B111" s="95"/>
      <c r="C111" s="112" t="s">
        <v>116</v>
      </c>
      <c r="D111" s="113"/>
      <c r="E111" s="45">
        <v>1428</v>
      </c>
    </row>
    <row r="112" spans="1:5" ht="151" customHeight="1" x14ac:dyDescent="0.2">
      <c r="A112" s="96"/>
      <c r="B112" s="97"/>
      <c r="C112" s="89" t="s">
        <v>121</v>
      </c>
      <c r="D112" s="111"/>
      <c r="E112" s="45">
        <v>225.5</v>
      </c>
    </row>
    <row r="113" spans="1:5" ht="13.5" customHeight="1" x14ac:dyDescent="0.2">
      <c r="A113" s="76" t="s">
        <v>95</v>
      </c>
      <c r="B113" s="76"/>
      <c r="C113" s="84"/>
      <c r="D113" s="84"/>
      <c r="E113" s="45">
        <f>C76</f>
        <v>1367</v>
      </c>
    </row>
    <row r="114" spans="1:5" ht="13.5" customHeight="1" x14ac:dyDescent="0.2">
      <c r="C114" s="87" t="s">
        <v>96</v>
      </c>
      <c r="D114" s="87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4"/>
  <sheetViews>
    <sheetView tabSelected="1" topLeftCell="A83" zoomScale="150" zoomScaleNormal="130" workbookViewId="0">
      <selection activeCell="E96" sqref="E96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5" t="s">
        <v>101</v>
      </c>
      <c r="B1" s="55"/>
      <c r="C1" s="55"/>
      <c r="D1" s="55"/>
      <c r="E1" s="55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62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1.44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2.8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66.239999999999995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6" t="s">
        <v>102</v>
      </c>
      <c r="B10" s="56"/>
      <c r="C10" s="56"/>
      <c r="D10" s="56"/>
      <c r="E10" s="56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7" t="s">
        <v>11</v>
      </c>
      <c r="D11" s="57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58" t="s">
        <v>15</v>
      </c>
      <c r="D12" s="58"/>
      <c r="E12" s="52">
        <v>2485</v>
      </c>
    </row>
    <row r="13" spans="1:25" ht="13.5" customHeight="1" x14ac:dyDescent="0.2">
      <c r="A13" s="6" t="s">
        <v>123</v>
      </c>
      <c r="B13" s="6" t="s">
        <v>75</v>
      </c>
      <c r="C13" s="60" t="s">
        <v>124</v>
      </c>
      <c r="D13" s="60"/>
      <c r="E13" s="29">
        <v>55</v>
      </c>
    </row>
    <row r="14" spans="1:25" ht="44" customHeight="1" x14ac:dyDescent="0.2">
      <c r="A14" s="50" t="s">
        <v>125</v>
      </c>
      <c r="B14" s="50" t="s">
        <v>24</v>
      </c>
      <c r="C14" s="59" t="s">
        <v>134</v>
      </c>
      <c r="D14" s="60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61" t="s">
        <v>104</v>
      </c>
      <c r="B17" s="61"/>
      <c r="C17" s="61"/>
      <c r="D17" s="61"/>
      <c r="E17" s="6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62" t="s">
        <v>11</v>
      </c>
      <c r="D18" s="62"/>
      <c r="E18" s="2" t="s">
        <v>12</v>
      </c>
    </row>
    <row r="19" spans="1:25" ht="13.5" customHeight="1" x14ac:dyDescent="0.2">
      <c r="A19" s="50" t="s">
        <v>132</v>
      </c>
      <c r="B19" s="6" t="s">
        <v>14</v>
      </c>
      <c r="C19" s="60" t="s">
        <v>15</v>
      </c>
      <c r="D19" s="60"/>
      <c r="E19" s="29">
        <v>2485</v>
      </c>
    </row>
    <row r="20" spans="1:25" ht="13.5" customHeight="1" x14ac:dyDescent="0.2">
      <c r="A20" s="50" t="s">
        <v>132</v>
      </c>
      <c r="B20" s="50" t="s">
        <v>28</v>
      </c>
      <c r="C20" s="65" t="s">
        <v>138</v>
      </c>
      <c r="D20" s="66"/>
      <c r="E20" s="29">
        <v>50</v>
      </c>
    </row>
    <row r="21" spans="1:25" ht="19" customHeight="1" x14ac:dyDescent="0.2">
      <c r="A21" s="54" t="s">
        <v>139</v>
      </c>
      <c r="B21" s="54" t="s">
        <v>140</v>
      </c>
      <c r="C21" s="63" t="s">
        <v>141</v>
      </c>
      <c r="D21" s="64"/>
      <c r="E21" s="29">
        <v>3.08</v>
      </c>
    </row>
    <row r="22" spans="1:25" ht="13.5" customHeight="1" x14ac:dyDescent="0.2">
      <c r="A22" s="50" t="s">
        <v>144</v>
      </c>
      <c r="B22" s="50" t="s">
        <v>24</v>
      </c>
      <c r="C22" s="67" t="s">
        <v>145</v>
      </c>
      <c r="D22" s="68"/>
      <c r="E22" s="29">
        <v>60</v>
      </c>
    </row>
    <row r="23" spans="1:25" ht="13.5" customHeight="1" x14ac:dyDescent="0.2">
      <c r="A23" s="24"/>
      <c r="B23" s="24"/>
      <c r="C23" s="5"/>
      <c r="D23" s="25" t="s">
        <v>30</v>
      </c>
      <c r="E23" s="26">
        <f>SUM(E19:E22)</f>
        <v>2598.08</v>
      </c>
    </row>
    <row r="24" spans="1:25" ht="13.5" customHeight="1" x14ac:dyDescent="0.2">
      <c r="A24" s="24"/>
      <c r="B24" s="24"/>
    </row>
    <row r="25" spans="1:25" ht="13.5" customHeight="1" x14ac:dyDescent="0.2">
      <c r="A25" s="61" t="s">
        <v>105</v>
      </c>
      <c r="B25" s="61"/>
      <c r="C25" s="61"/>
      <c r="D25" s="61"/>
      <c r="E25" s="6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spans="1:25" ht="13.5" customHeight="1" x14ac:dyDescent="0.2">
      <c r="A26" s="31" t="s">
        <v>9</v>
      </c>
      <c r="B26" s="32" t="s">
        <v>10</v>
      </c>
      <c r="C26" s="62" t="s">
        <v>11</v>
      </c>
      <c r="D26" s="62"/>
      <c r="E26" s="2" t="s">
        <v>12</v>
      </c>
    </row>
    <row r="27" spans="1:25" ht="13.5" customHeight="1" x14ac:dyDescent="0.2">
      <c r="A27" s="50" t="s">
        <v>133</v>
      </c>
      <c r="B27" s="6" t="s">
        <v>14</v>
      </c>
      <c r="C27" s="60" t="s">
        <v>15</v>
      </c>
      <c r="D27" s="60"/>
      <c r="E27" s="33">
        <v>2485</v>
      </c>
    </row>
    <row r="28" spans="1:25" ht="13.5" customHeight="1" x14ac:dyDescent="0.2">
      <c r="A28" s="6"/>
      <c r="B28" s="6"/>
      <c r="C28" s="60"/>
      <c r="D28" s="60"/>
      <c r="E28" s="29">
        <v>0</v>
      </c>
    </row>
    <row r="29" spans="1:25" ht="13.5" customHeight="1" x14ac:dyDescent="0.2">
      <c r="A29" s="24"/>
      <c r="B29" s="24"/>
      <c r="C29" s="5"/>
      <c r="D29" s="34" t="s">
        <v>30</v>
      </c>
      <c r="E29" s="35">
        <f>SUM(E27:E28)</f>
        <v>2485</v>
      </c>
    </row>
    <row r="30" spans="1:25" ht="13.5" customHeight="1" x14ac:dyDescent="0.2">
      <c r="A30" s="24"/>
      <c r="B30" s="24"/>
    </row>
    <row r="31" spans="1:25" ht="15" customHeight="1" x14ac:dyDescent="0.2">
      <c r="A31" s="69" t="s">
        <v>106</v>
      </c>
      <c r="B31" s="69"/>
      <c r="C31" s="69"/>
    </row>
    <row r="32" spans="1:25" ht="17" x14ac:dyDescent="0.2">
      <c r="A32" s="1" t="s">
        <v>10</v>
      </c>
      <c r="B32" s="1" t="s">
        <v>11</v>
      </c>
      <c r="C32" s="36" t="s">
        <v>12</v>
      </c>
      <c r="D32" s="37"/>
    </row>
    <row r="33" spans="1:3" ht="13.5" customHeight="1" x14ac:dyDescent="0.2">
      <c r="A33" s="70" t="s">
        <v>41</v>
      </c>
      <c r="B33" s="70"/>
      <c r="C33" s="70"/>
    </row>
    <row r="34" spans="1:3" ht="13.5" customHeight="1" x14ac:dyDescent="0.2">
      <c r="A34" s="50" t="s">
        <v>17</v>
      </c>
      <c r="B34" s="50" t="s">
        <v>112</v>
      </c>
      <c r="C34" s="33">
        <v>78</v>
      </c>
    </row>
    <row r="35" spans="1:3" ht="13.5" customHeight="1" x14ac:dyDescent="0.2">
      <c r="A35" s="17" t="s">
        <v>42</v>
      </c>
      <c r="B35" s="17" t="s">
        <v>43</v>
      </c>
      <c r="C35" s="38">
        <v>0</v>
      </c>
    </row>
    <row r="36" spans="1:3" ht="13.5" customHeight="1" x14ac:dyDescent="0.2">
      <c r="A36" s="17" t="s">
        <v>44</v>
      </c>
      <c r="B36" s="17" t="s">
        <v>45</v>
      </c>
      <c r="C36" s="38">
        <v>138</v>
      </c>
    </row>
    <row r="37" spans="1:3" ht="13.5" customHeight="1" x14ac:dyDescent="0.2">
      <c r="A37" s="7"/>
      <c r="B37" s="6" t="s">
        <v>46</v>
      </c>
      <c r="C37" s="39">
        <f>SUM(C34:C36)</f>
        <v>216</v>
      </c>
    </row>
    <row r="38" spans="1:3" ht="13.5" customHeight="1" x14ac:dyDescent="0.2">
      <c r="A38" s="71" t="s">
        <v>47</v>
      </c>
      <c r="B38" s="71"/>
      <c r="C38" s="71"/>
    </row>
    <row r="39" spans="1:3" ht="13.5" customHeight="1" x14ac:dyDescent="0.2">
      <c r="A39" s="71"/>
      <c r="B39" s="71"/>
      <c r="C39" s="71"/>
    </row>
    <row r="40" spans="1:3" ht="13.5" customHeight="1" x14ac:dyDescent="0.2">
      <c r="A40" s="6" t="s">
        <v>48</v>
      </c>
      <c r="B40" s="6"/>
      <c r="C40" s="29">
        <v>0</v>
      </c>
    </row>
    <row r="41" spans="1:3" ht="13.5" customHeight="1" x14ac:dyDescent="0.2">
      <c r="A41" s="6" t="s">
        <v>49</v>
      </c>
      <c r="B41" s="6"/>
      <c r="C41" s="19">
        <v>0</v>
      </c>
    </row>
    <row r="42" spans="1:3" ht="13.5" customHeight="1" x14ac:dyDescent="0.2">
      <c r="A42" s="6" t="s">
        <v>50</v>
      </c>
      <c r="B42" s="6"/>
      <c r="C42" s="19">
        <v>0</v>
      </c>
    </row>
    <row r="43" spans="1:3" ht="13.5" customHeight="1" x14ac:dyDescent="0.2">
      <c r="A43" s="6" t="s">
        <v>51</v>
      </c>
      <c r="B43" s="6"/>
      <c r="C43" s="19">
        <v>0</v>
      </c>
    </row>
    <row r="44" spans="1:3" ht="13.5" customHeight="1" x14ac:dyDescent="0.2">
      <c r="A44" s="6"/>
      <c r="B44" s="6" t="s">
        <v>52</v>
      </c>
      <c r="C44" s="39">
        <f>SUM(C40:C43)</f>
        <v>0</v>
      </c>
    </row>
    <row r="45" spans="1:3" ht="13.5" customHeight="1" x14ac:dyDescent="0.2">
      <c r="A45" s="70" t="s">
        <v>53</v>
      </c>
      <c r="B45" s="70"/>
      <c r="C45" s="70"/>
    </row>
    <row r="46" spans="1:3" ht="13.5" customHeight="1" x14ac:dyDescent="0.2">
      <c r="A46" s="6" t="s">
        <v>54</v>
      </c>
      <c r="B46" s="6" t="s">
        <v>55</v>
      </c>
      <c r="C46" s="33">
        <v>0</v>
      </c>
    </row>
    <row r="47" spans="1:3" ht="13.5" customHeight="1" x14ac:dyDescent="0.2">
      <c r="A47" s="6" t="s">
        <v>56</v>
      </c>
      <c r="B47" s="6" t="s">
        <v>57</v>
      </c>
      <c r="C47" s="33">
        <v>0</v>
      </c>
    </row>
    <row r="48" spans="1:3" ht="13.5" customHeight="1" x14ac:dyDescent="0.2">
      <c r="A48" s="6"/>
      <c r="B48" s="6" t="s">
        <v>58</v>
      </c>
      <c r="C48" s="39">
        <f>SUM(C46:C47)</f>
        <v>0</v>
      </c>
    </row>
    <row r="49" spans="1:3" ht="13.5" customHeight="1" x14ac:dyDescent="0.2">
      <c r="A49" s="70" t="s">
        <v>59</v>
      </c>
      <c r="B49" s="70"/>
      <c r="C49" s="70"/>
    </row>
    <row r="50" spans="1:3" ht="13.5" customHeight="1" x14ac:dyDescent="0.2">
      <c r="A50" s="6" t="s">
        <v>60</v>
      </c>
      <c r="B50" s="6" t="s">
        <v>61</v>
      </c>
      <c r="C50" s="29">
        <v>0</v>
      </c>
    </row>
    <row r="51" spans="1:3" ht="13.5" customHeight="1" x14ac:dyDescent="0.2">
      <c r="A51" s="17"/>
      <c r="B51" s="17" t="s">
        <v>62</v>
      </c>
      <c r="C51" s="39">
        <f>SUM(C50)</f>
        <v>0</v>
      </c>
    </row>
    <row r="52" spans="1:3" ht="13.5" customHeight="1" x14ac:dyDescent="0.2">
      <c r="A52" s="70" t="s">
        <v>63</v>
      </c>
      <c r="B52" s="70"/>
      <c r="C52" s="70"/>
    </row>
    <row r="53" spans="1:3" ht="13.5" customHeight="1" x14ac:dyDescent="0.2">
      <c r="A53" s="6" t="s">
        <v>64</v>
      </c>
      <c r="B53" s="6" t="s">
        <v>65</v>
      </c>
      <c r="C53" s="29">
        <v>0</v>
      </c>
    </row>
    <row r="54" spans="1:3" ht="13.5" customHeight="1" x14ac:dyDescent="0.2">
      <c r="A54" s="6"/>
      <c r="B54" s="6" t="s">
        <v>66</v>
      </c>
      <c r="C54" s="39">
        <f>SUM(C53)</f>
        <v>0</v>
      </c>
    </row>
    <row r="55" spans="1:3" ht="13.5" customHeight="1" x14ac:dyDescent="0.2">
      <c r="A55" s="72" t="s">
        <v>67</v>
      </c>
      <c r="B55" s="72"/>
      <c r="C55" s="72"/>
    </row>
    <row r="56" spans="1:3" ht="13.5" customHeight="1" x14ac:dyDescent="0.2">
      <c r="A56" s="17" t="s">
        <v>68</v>
      </c>
      <c r="B56" s="5" t="s">
        <v>69</v>
      </c>
      <c r="C56" s="40">
        <v>0</v>
      </c>
    </row>
    <row r="57" spans="1:3" ht="13.5" customHeight="1" x14ac:dyDescent="0.2">
      <c r="A57" s="6" t="s">
        <v>70</v>
      </c>
      <c r="B57" s="6" t="s">
        <v>18</v>
      </c>
      <c r="C57" s="29">
        <v>900</v>
      </c>
    </row>
    <row r="58" spans="1:3" ht="32" x14ac:dyDescent="0.2">
      <c r="A58" s="6" t="s">
        <v>71</v>
      </c>
      <c r="B58" s="6" t="s">
        <v>72</v>
      </c>
      <c r="C58" s="29">
        <v>0</v>
      </c>
    </row>
    <row r="59" spans="1:3" ht="13.5" customHeight="1" x14ac:dyDescent="0.2">
      <c r="A59" s="6" t="s">
        <v>73</v>
      </c>
      <c r="B59" s="6" t="s">
        <v>74</v>
      </c>
      <c r="C59" s="29">
        <v>0</v>
      </c>
    </row>
    <row r="60" spans="1:3" ht="13.5" customHeight="1" x14ac:dyDescent="0.2">
      <c r="A60" s="6" t="s">
        <v>75</v>
      </c>
      <c r="B60" s="6"/>
      <c r="C60" s="29">
        <v>55</v>
      </c>
    </row>
    <row r="61" spans="1:3" ht="13.5" customHeight="1" x14ac:dyDescent="0.2">
      <c r="A61" s="7" t="s">
        <v>76</v>
      </c>
      <c r="B61" s="7" t="s">
        <v>77</v>
      </c>
      <c r="C61" s="19">
        <v>0</v>
      </c>
    </row>
    <row r="62" spans="1:3" ht="13.5" customHeight="1" x14ac:dyDescent="0.2">
      <c r="A62" s="7"/>
      <c r="B62" s="7" t="s">
        <v>78</v>
      </c>
      <c r="C62" s="39">
        <f>SUM(C56:C61)</f>
        <v>955</v>
      </c>
    </row>
    <row r="63" spans="1:3" ht="13.5" customHeight="1" x14ac:dyDescent="0.2">
      <c r="A63" s="72" t="s">
        <v>79</v>
      </c>
      <c r="B63" s="72"/>
      <c r="C63" s="72"/>
    </row>
    <row r="64" spans="1:3" ht="13.5" customHeight="1" x14ac:dyDescent="0.2">
      <c r="A64" s="7" t="s">
        <v>24</v>
      </c>
      <c r="B64" s="7"/>
      <c r="C64" s="19">
        <v>60</v>
      </c>
    </row>
    <row r="65" spans="1:8" ht="13.5" customHeight="1" x14ac:dyDescent="0.2">
      <c r="A65" s="7" t="s">
        <v>80</v>
      </c>
      <c r="B65" s="7"/>
      <c r="C65" s="19">
        <v>0</v>
      </c>
    </row>
    <row r="66" spans="1:8" ht="13.5" customHeight="1" x14ac:dyDescent="0.2">
      <c r="A66" s="7"/>
      <c r="B66" s="7" t="s">
        <v>81</v>
      </c>
      <c r="C66" s="19">
        <f>SUM(C64:C65)</f>
        <v>60</v>
      </c>
    </row>
    <row r="67" spans="1:8" ht="13.5" customHeight="1" x14ac:dyDescent="0.2">
      <c r="A67" s="6"/>
      <c r="B67" s="34" t="s">
        <v>82</v>
      </c>
      <c r="C67" s="41">
        <f>C37+C44+C48+C51+C54+C62</f>
        <v>1171</v>
      </c>
      <c r="H67" s="42"/>
    </row>
    <row r="68" spans="1:8" ht="13.5" customHeight="1" x14ac:dyDescent="0.2">
      <c r="A68" s="24"/>
      <c r="B68" s="24"/>
    </row>
    <row r="69" spans="1:8" ht="13.5" customHeight="1" x14ac:dyDescent="0.2">
      <c r="A69" s="24"/>
      <c r="B69" s="24"/>
    </row>
    <row r="70" spans="1:8" ht="13.5" customHeight="1" x14ac:dyDescent="0.2">
      <c r="A70" s="73" t="s">
        <v>129</v>
      </c>
      <c r="B70" s="73"/>
      <c r="C70" s="73"/>
      <c r="D70" s="73"/>
      <c r="E70" s="73"/>
    </row>
    <row r="71" spans="1:8" ht="13.5" customHeight="1" x14ac:dyDescent="0.2">
      <c r="A71" s="74" t="s">
        <v>83</v>
      </c>
      <c r="B71" s="74"/>
      <c r="C71" s="74" t="s">
        <v>11</v>
      </c>
      <c r="D71" s="74"/>
      <c r="E71" s="44" t="s">
        <v>12</v>
      </c>
    </row>
    <row r="72" spans="1:8" ht="24" customHeight="1" x14ac:dyDescent="0.2">
      <c r="A72" s="75" t="s">
        <v>107</v>
      </c>
      <c r="B72" s="75"/>
      <c r="C72" s="76"/>
      <c r="D72" s="76"/>
      <c r="E72" s="47">
        <f>'April 2026 - June 2026'!E114</f>
        <v>110.69999999999982</v>
      </c>
    </row>
    <row r="73" spans="1:8" ht="39" customHeight="1" x14ac:dyDescent="0.2">
      <c r="A73" s="77" t="s">
        <v>67</v>
      </c>
      <c r="B73" s="77"/>
      <c r="C73" s="78" t="s">
        <v>122</v>
      </c>
      <c r="D73" s="78"/>
      <c r="E73" s="45">
        <v>600</v>
      </c>
    </row>
    <row r="74" spans="1:8" ht="259" customHeight="1" x14ac:dyDescent="0.2">
      <c r="A74" s="77"/>
      <c r="B74" s="77"/>
      <c r="C74" s="79" t="s">
        <v>135</v>
      </c>
      <c r="D74" s="80"/>
      <c r="E74" s="45">
        <v>1117.5</v>
      </c>
    </row>
    <row r="75" spans="1:8" ht="146" customHeight="1" x14ac:dyDescent="0.2">
      <c r="A75" s="77"/>
      <c r="B75" s="77"/>
      <c r="C75" s="79" t="s">
        <v>137</v>
      </c>
      <c r="D75" s="81"/>
      <c r="E75" s="45">
        <v>508</v>
      </c>
    </row>
    <row r="76" spans="1:8" ht="13.5" customHeight="1" x14ac:dyDescent="0.2">
      <c r="A76" s="77" t="s">
        <v>95</v>
      </c>
      <c r="B76" s="77"/>
      <c r="C76" s="82"/>
      <c r="D76" s="82"/>
      <c r="E76" s="46">
        <f>C67</f>
        <v>1171</v>
      </c>
    </row>
    <row r="77" spans="1:8" ht="13.5" customHeight="1" x14ac:dyDescent="0.2">
      <c r="C77" s="83" t="s">
        <v>96</v>
      </c>
      <c r="D77" s="83"/>
      <c r="E77" s="47">
        <f>(E15+E72)-SUM(E73:E76)</f>
        <v>24.599999999999909</v>
      </c>
    </row>
    <row r="78" spans="1:8" ht="13.5" customHeight="1" x14ac:dyDescent="0.2"/>
    <row r="79" spans="1:8" ht="13.5" customHeight="1" x14ac:dyDescent="0.2">
      <c r="A79" s="73" t="s">
        <v>130</v>
      </c>
      <c r="B79" s="73"/>
      <c r="C79" s="73"/>
      <c r="D79" s="73"/>
      <c r="E79" s="73"/>
    </row>
    <row r="80" spans="1:8" ht="13.5" customHeight="1" x14ac:dyDescent="0.2">
      <c r="A80" s="73" t="s">
        <v>83</v>
      </c>
      <c r="B80" s="73"/>
      <c r="C80" s="73" t="s">
        <v>11</v>
      </c>
      <c r="D80" s="73"/>
      <c r="E80" s="43" t="s">
        <v>12</v>
      </c>
    </row>
    <row r="81" spans="1:5" ht="13.5" customHeight="1" x14ac:dyDescent="0.2">
      <c r="A81" s="75" t="s">
        <v>108</v>
      </c>
      <c r="B81" s="75"/>
      <c r="C81" s="84"/>
      <c r="D81" s="84"/>
      <c r="E81" s="47">
        <f>E77</f>
        <v>24.599999999999909</v>
      </c>
    </row>
    <row r="82" spans="1:5" ht="46" customHeight="1" x14ac:dyDescent="0.2">
      <c r="A82" s="92" t="s">
        <v>67</v>
      </c>
      <c r="B82" s="93"/>
      <c r="C82" s="85" t="s">
        <v>136</v>
      </c>
      <c r="D82" s="86"/>
      <c r="E82" s="48">
        <v>770.4</v>
      </c>
    </row>
    <row r="83" spans="1:5" ht="89" customHeight="1" x14ac:dyDescent="0.2">
      <c r="A83" s="94"/>
      <c r="B83" s="95"/>
      <c r="C83" s="78" t="s">
        <v>143</v>
      </c>
      <c r="D83" s="78"/>
      <c r="E83" s="48">
        <v>219.9</v>
      </c>
    </row>
    <row r="84" spans="1:5" ht="143" customHeight="1" x14ac:dyDescent="0.2">
      <c r="A84" s="94"/>
      <c r="B84" s="95"/>
      <c r="C84" s="89" t="s">
        <v>147</v>
      </c>
      <c r="D84" s="90"/>
      <c r="E84" s="48">
        <v>262.5</v>
      </c>
    </row>
    <row r="85" spans="1:5" ht="22" customHeight="1" x14ac:dyDescent="0.2">
      <c r="A85" s="96"/>
      <c r="B85" s="97"/>
      <c r="C85" s="91" t="s">
        <v>142</v>
      </c>
      <c r="D85" s="90"/>
      <c r="E85" s="48">
        <v>136.63999999999999</v>
      </c>
    </row>
    <row r="86" spans="1:5" ht="19.5" customHeight="1" x14ac:dyDescent="0.2">
      <c r="A86" s="76" t="s">
        <v>95</v>
      </c>
      <c r="B86" s="76"/>
      <c r="C86" s="84"/>
      <c r="D86" s="84"/>
      <c r="E86" s="45">
        <f>C67</f>
        <v>1171</v>
      </c>
    </row>
    <row r="87" spans="1:5" ht="13.5" customHeight="1" x14ac:dyDescent="0.2">
      <c r="C87" s="87" t="s">
        <v>96</v>
      </c>
      <c r="D87" s="87"/>
      <c r="E87" s="47">
        <f>(E23+E81)-SUM(E82:E86)</f>
        <v>62.239999999999782</v>
      </c>
    </row>
    <row r="88" spans="1:5" ht="13.5" customHeight="1" x14ac:dyDescent="0.2">
      <c r="A88" s="49"/>
      <c r="B88" s="49"/>
      <c r="C88" s="49"/>
      <c r="D88" s="49"/>
      <c r="E88" s="49"/>
    </row>
    <row r="89" spans="1:5" ht="13.5" customHeight="1" x14ac:dyDescent="0.2">
      <c r="A89" s="49"/>
      <c r="B89" s="49"/>
      <c r="C89" s="49"/>
      <c r="D89" s="49"/>
      <c r="E89" s="49"/>
    </row>
    <row r="90" spans="1:5" ht="22" customHeight="1" x14ac:dyDescent="0.2">
      <c r="A90" s="88" t="s">
        <v>131</v>
      </c>
      <c r="B90" s="88"/>
      <c r="C90" s="88"/>
      <c r="D90" s="88"/>
      <c r="E90" s="88"/>
    </row>
    <row r="91" spans="1:5" ht="13.5" customHeight="1" x14ac:dyDescent="0.2">
      <c r="A91" s="73" t="s">
        <v>83</v>
      </c>
      <c r="B91" s="73"/>
      <c r="C91" s="73" t="s">
        <v>11</v>
      </c>
      <c r="D91" s="73"/>
      <c r="E91" s="43" t="s">
        <v>12</v>
      </c>
    </row>
    <row r="92" spans="1:5" ht="25" customHeight="1" x14ac:dyDescent="0.2">
      <c r="A92" s="75" t="s">
        <v>109</v>
      </c>
      <c r="B92" s="75"/>
      <c r="C92" s="84"/>
      <c r="D92" s="84"/>
      <c r="E92" s="47">
        <f>E87</f>
        <v>62.239999999999782</v>
      </c>
    </row>
    <row r="93" spans="1:5" ht="32" customHeight="1" x14ac:dyDescent="0.2">
      <c r="A93" s="92" t="s">
        <v>67</v>
      </c>
      <c r="B93" s="93"/>
      <c r="C93" s="78" t="s">
        <v>146</v>
      </c>
      <c r="D93" s="78"/>
      <c r="E93" s="45">
        <v>60</v>
      </c>
    </row>
    <row r="94" spans="1:5" ht="56" customHeight="1" x14ac:dyDescent="0.2">
      <c r="A94" s="94"/>
      <c r="B94" s="95"/>
      <c r="C94" s="114" t="s">
        <v>118</v>
      </c>
      <c r="D94" s="115"/>
      <c r="E94" s="45">
        <v>800</v>
      </c>
    </row>
    <row r="95" spans="1:5" ht="72" customHeight="1" x14ac:dyDescent="0.2">
      <c r="A95" s="94"/>
      <c r="B95" s="95"/>
      <c r="C95" s="114" t="s">
        <v>148</v>
      </c>
      <c r="D95" s="115"/>
      <c r="E95" s="45">
        <v>113.9</v>
      </c>
    </row>
    <row r="96" spans="1:5" ht="92" customHeight="1" x14ac:dyDescent="0.2">
      <c r="A96" s="96"/>
      <c r="B96" s="97"/>
      <c r="C96" s="114" t="s">
        <v>149</v>
      </c>
      <c r="D96" s="115"/>
      <c r="E96" s="45">
        <v>274.5</v>
      </c>
    </row>
    <row r="97" spans="1:5" ht="13.5" customHeight="1" x14ac:dyDescent="0.2">
      <c r="A97" s="76" t="s">
        <v>95</v>
      </c>
      <c r="B97" s="76"/>
      <c r="C97" s="84"/>
      <c r="D97" s="84"/>
      <c r="E97" s="45">
        <f>C67</f>
        <v>1171</v>
      </c>
    </row>
    <row r="98" spans="1:5" ht="13.5" customHeight="1" x14ac:dyDescent="0.2">
      <c r="C98" s="87" t="s">
        <v>96</v>
      </c>
      <c r="D98" s="87"/>
      <c r="E98" s="47">
        <f>(E29+E92)-SUM(E93:E97)</f>
        <v>127.83999999999969</v>
      </c>
    </row>
    <row r="99" spans="1:5" ht="13.5" customHeight="1" x14ac:dyDescent="0.2">
      <c r="A99" s="24"/>
      <c r="B99" s="24"/>
    </row>
    <row r="100" spans="1:5" ht="13.5" customHeight="1" x14ac:dyDescent="0.2">
      <c r="A100" s="24"/>
      <c r="B100" s="24"/>
    </row>
    <row r="101" spans="1:5" ht="13.5" customHeight="1" x14ac:dyDescent="0.2">
      <c r="A101" s="24"/>
      <c r="B101" s="24"/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</sheetData>
  <mergeCells count="62">
    <mergeCell ref="C98:D98"/>
    <mergeCell ref="A92:B92"/>
    <mergeCell ref="C92:D92"/>
    <mergeCell ref="C93:D93"/>
    <mergeCell ref="A97:B97"/>
    <mergeCell ref="C97:D97"/>
    <mergeCell ref="A93:B96"/>
    <mergeCell ref="C94:D94"/>
    <mergeCell ref="C95:D95"/>
    <mergeCell ref="C96:D96"/>
    <mergeCell ref="C82:D82"/>
    <mergeCell ref="C87:D87"/>
    <mergeCell ref="A90:E90"/>
    <mergeCell ref="A91:B91"/>
    <mergeCell ref="C91:D91"/>
    <mergeCell ref="C83:D83"/>
    <mergeCell ref="C84:D84"/>
    <mergeCell ref="C85:D85"/>
    <mergeCell ref="A86:B86"/>
    <mergeCell ref="C86:D86"/>
    <mergeCell ref="A82:B85"/>
    <mergeCell ref="C77:D77"/>
    <mergeCell ref="A79:E79"/>
    <mergeCell ref="A80:B80"/>
    <mergeCell ref="C80:D80"/>
    <mergeCell ref="A81:B81"/>
    <mergeCell ref="C81:D81"/>
    <mergeCell ref="A73:B75"/>
    <mergeCell ref="C73:D73"/>
    <mergeCell ref="C74:D74"/>
    <mergeCell ref="C75:D75"/>
    <mergeCell ref="A76:B76"/>
    <mergeCell ref="C76:D76"/>
    <mergeCell ref="A63:C63"/>
    <mergeCell ref="A70:E70"/>
    <mergeCell ref="A71:B71"/>
    <mergeCell ref="C71:D71"/>
    <mergeCell ref="A72:B72"/>
    <mergeCell ref="C72:D72"/>
    <mergeCell ref="A38:C39"/>
    <mergeCell ref="A45:C45"/>
    <mergeCell ref="A49:C49"/>
    <mergeCell ref="A52:C52"/>
    <mergeCell ref="A55:C55"/>
    <mergeCell ref="C26:D26"/>
    <mergeCell ref="C27:D27"/>
    <mergeCell ref="C28:D28"/>
    <mergeCell ref="A31:C31"/>
    <mergeCell ref="A33:C33"/>
    <mergeCell ref="A17:E17"/>
    <mergeCell ref="C18:D18"/>
    <mergeCell ref="C19:D19"/>
    <mergeCell ref="C21:D21"/>
    <mergeCell ref="A25:E25"/>
    <mergeCell ref="C20:D20"/>
    <mergeCell ref="C22:D22"/>
    <mergeCell ref="A1:E1"/>
    <mergeCell ref="A10:E10"/>
    <mergeCell ref="C11:D11"/>
    <mergeCell ref="C12:D12"/>
    <mergeCell ref="C14:D14"/>
    <mergeCell ref="C13:D13"/>
  </mergeCells>
  <conditionalFormatting sqref="C7:C8 E72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7 E81 E87 E92 E98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2026-09-02T09:13:37Z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