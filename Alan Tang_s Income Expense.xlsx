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C04EED0A-38EB-DC43-830F-0FF2712D31C6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<sst xmlns="http://schemas.openxmlformats.org/spreadsheetml/2006/main" count="416" uniqueCount="172">
  <si>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</si>
  <si>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</si>
  <si>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</si>
  <si>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</si>
  <si>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</si>
  <si>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</si>
  <si>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</si>
  <si>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</si>
  <si>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</si>
  <si>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</si>
  <si>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</si>
  <si>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</si>
  <si>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</si>
  <si>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</si>
  <si>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</si>
  <si>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</si>
  <si>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</si>
  <si>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</si>
  <si>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</si>
  <si>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</si>
  <si>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</si>
  <si>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</si>
  <si>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</si>
  <si>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</si>
  <si>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</si>
  <si>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</si>
  <si>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</si>
  <si>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</si>
  <si>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</si>
  <si>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</si>
  <si>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</si>
  <si>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</si>
  <si>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</si>
  <si>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</si>
  <si>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</si>
  <si>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</si>
  <si>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</si>
  <si>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</si>
  <si>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</si>
  <si>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</si>
  <si>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</si>
  <si>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</si>
  <si>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</si>
  <si>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</si>
  <si>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</si>
  <si>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</si>
  <si>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</si>
  <si>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</si>
  <si>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</si>
  <si>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</si>
  <si>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</si>
  <si>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</si>
  <si>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</si>
  <si>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</si>
  <si>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</si>
  <si>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</si>
  <si>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</si>
  <si>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</si>
  <si>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</si>
  <si>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</si>
  <si>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</si>
  <si>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</si>
  <si>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</si>
  <si>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</si>
  <si>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</si>
  <si>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</si>
  <si>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</si>
  <si>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</si>
  <si>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</si>
  <si>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</si>
  <si>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</si>
  <si>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</si>
  <si>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</si>
  <si>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</si>
  <si>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</si>
  <si>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</si>
  <si>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</si>
  <si>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</si>
  <si>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</si>
  <si>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</si>
  <si>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</si>
  <si>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</si>
  <si>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</si>
  <si>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</si>
  <si>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</si>
  <si>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</si>
  <si>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</si>
  <si>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</si>
  <si>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</si>
  <si>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</si>
  <si>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</si>
  <si>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</si>
  <si>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</si>
  <si>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</si>
  <si>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</si>
  <si>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</si>
  <si>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</si>
  <si>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</si>
  <si>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</si>
  <si>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</si>
  <si>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</si>
  <si>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</si>
  <si>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</si>
  <si>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</si>
  <si>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</si>
  <si>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</si>
  <si>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</si>
  <si>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</si>
  <si>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</si>
  <si>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</si>
  <si>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</si>
  <si>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</si>
  <si>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</si>
  <si>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</si>
  <si>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</si>
  <si>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</si>
  <si>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</si>
  <si>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</si>
  <si>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</si>
  <si>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</si>
  <si>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</si>
  <si>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</si>
  <si>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</si>
  <si>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</si>
  <si>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</si>
  <si>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</si>
  <si>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</si>
  <si>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</si>
  <si>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</si>
  <si>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</si>
  <si>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</si>
  <si>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</si>
  <si>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</si>
  <si>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</si>
  <si>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</si>
  <si>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</si>
  <si>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</si>
  <si>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</si>
  <si>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</si>
  <si>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</si>
  <si>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</si>
  <si>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</si>
  <si>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</si>
  <si>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</si>
  <si>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</si>
  <si>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</si>
  <si>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</si>
  <si>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</si>
  <si>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</si>
  <si>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</si>
  <si>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</si>
  <si>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</si>
  <si>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</si>
  <si>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</si>
  <si>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</si>
  <si>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</si>
  <si>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</si>
  <si>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</si>
  <si>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</si>
  <si>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</si>
  <si>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</si>
  <si>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</si>
  <si>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</si>
  <si>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</si>
  <si>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~ Additional fees for cigarette (change from e-cigarette to cigarette) 18/09 - $380
~ Round Trip to East Kowloon hospital 02/10 - $4</t>
  </si>
  <si>
    <t>cigarette - 4 packs each pack has 10 packets of cigarette</t>
  </si>
  <si>
    <t>~ iHerb Aveeno Lotion - $136.64</t>
  </si>
  <si>
    <t>~ Payback $250 to Lawrence</t>
  </si>
  <si>
    <t>Partial Food And Snack Prepaid on the Previous Month
~ Food
   ~ HKTV mall 18/09 - $339.9
~ Snack And Drinks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</si>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</sst>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44.940000000000005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opLeftCell="A85" zoomScale="150" zoomScaleNormal="130" workbookViewId="0">
      <selection activeCell="E86" sqref="E8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44.940000000000005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145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2" t="s">
        <v>137</v>
      </c>
      <c r="D21" s="113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90" t="s">
        <v>169</v>
      </c>
      <c r="D22" s="91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90" t="s">
        <v>161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89" t="s">
        <v>123</v>
      </c>
      <c r="D29" s="89"/>
      <c r="E29" s="29">
        <v>55</v>
      </c>
    </row>
    <row r="30" spans="1:25" ht="13.5" customHeight="1" x14ac:dyDescent="0.2">
      <c r="A30" s="6"/>
      <c r="B30" s="6"/>
      <c r="C30" s="89"/>
      <c r="D30" s="89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87" t="s">
        <v>106</v>
      </c>
      <c r="B33" s="87"/>
      <c r="C33" s="87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4" t="s">
        <v>41</v>
      </c>
      <c r="B35" s="84"/>
      <c r="C35" s="84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8" t="s">
        <v>47</v>
      </c>
      <c r="B40" s="88"/>
      <c r="C40" s="88"/>
    </row>
    <row r="41" spans="1:4" ht="13.5" customHeight="1" x14ac:dyDescent="0.2">
      <c r="A41" s="88"/>
      <c r="B41" s="88"/>
      <c r="C41" s="88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4" t="s">
        <v>53</v>
      </c>
      <c r="B47" s="84"/>
      <c r="C47" s="84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4" t="s">
        <v>59</v>
      </c>
      <c r="B51" s="84"/>
      <c r="C51" s="84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4" t="s">
        <v>63</v>
      </c>
      <c r="B54" s="84"/>
      <c r="C54" s="84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5" t="s">
        <v>67</v>
      </c>
      <c r="B57" s="85"/>
      <c r="C57" s="85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5" t="s">
        <v>79</v>
      </c>
      <c r="B65" s="85"/>
      <c r="C65" s="85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6" t="s">
        <v>83</v>
      </c>
      <c r="B73" s="86"/>
      <c r="C73" s="86" t="s">
        <v>11</v>
      </c>
      <c r="D73" s="86"/>
      <c r="E73" s="44" t="s">
        <v>12</v>
      </c>
    </row>
    <row r="74" spans="1:8" ht="24" customHeight="1" x14ac:dyDescent="0.2">
      <c r="A74" s="60" t="s">
        <v>107</v>
      </c>
      <c r="B74" s="60"/>
      <c r="C74" s="57"/>
      <c r="D74" s="57"/>
      <c r="E74" s="47">
        <f>'April 2026 - June 2026'!E114</f>
        <v>110.69999999999982</v>
      </c>
    </row>
    <row r="75" spans="1:8" ht="39" customHeight="1" x14ac:dyDescent="0.2">
      <c r="A75" s="76" t="s">
        <v>67</v>
      </c>
      <c r="B75" s="76"/>
      <c r="C75" s="75" t="s">
        <v>121</v>
      </c>
      <c r="D75" s="75"/>
      <c r="E75" s="45">
        <v>600</v>
      </c>
    </row>
    <row r="76" spans="1:8" ht="259" customHeight="1" x14ac:dyDescent="0.2">
      <c r="A76" s="76"/>
      <c r="B76" s="76"/>
      <c r="C76" s="111" t="s">
        <v>133</v>
      </c>
      <c r="D76" s="74"/>
      <c r="E76" s="45">
        <v>1117.5</v>
      </c>
    </row>
    <row r="77" spans="1:8" ht="146" customHeight="1" x14ac:dyDescent="0.2">
      <c r="A77" s="76"/>
      <c r="B77" s="76"/>
      <c r="C77" s="111" t="s">
        <v>134</v>
      </c>
      <c r="D77" s="82"/>
      <c r="E77" s="45">
        <v>508</v>
      </c>
    </row>
    <row r="78" spans="1:8" ht="13.5" customHeight="1" x14ac:dyDescent="0.2">
      <c r="A78" s="76" t="s">
        <v>95</v>
      </c>
      <c r="B78" s="76"/>
      <c r="C78" s="77"/>
      <c r="D78" s="77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60" t="s">
        <v>108</v>
      </c>
      <c r="B83" s="60"/>
      <c r="C83" s="58"/>
      <c r="D83" s="58"/>
      <c r="E83" s="47">
        <f>E79</f>
        <v>24.599999999999909</v>
      </c>
    </row>
    <row r="84" spans="1:5" ht="56" customHeight="1" x14ac:dyDescent="0.2">
      <c r="A84" s="61" t="s">
        <v>67</v>
      </c>
      <c r="B84" s="62"/>
      <c r="C84" s="107" t="s">
        <v>142</v>
      </c>
      <c r="D84" s="108"/>
      <c r="E84" s="48">
        <v>830.4</v>
      </c>
    </row>
    <row r="85" spans="1:5" ht="149" customHeight="1" x14ac:dyDescent="0.2">
      <c r="A85" s="63"/>
      <c r="B85" s="64"/>
      <c r="C85" s="75" t="s">
        <v>146</v>
      </c>
      <c r="D85" s="75"/>
      <c r="E85" s="48">
        <v>721.4</v>
      </c>
    </row>
    <row r="86" spans="1:5" ht="234" customHeight="1" x14ac:dyDescent="0.2">
      <c r="A86" s="63"/>
      <c r="B86" s="64"/>
      <c r="C86" s="70" t="s">
        <v>171</v>
      </c>
      <c r="D86" s="109"/>
      <c r="E86" s="48">
        <v>956.5</v>
      </c>
    </row>
    <row r="87" spans="1:5" ht="40" customHeight="1" x14ac:dyDescent="0.2">
      <c r="A87" s="63"/>
      <c r="B87" s="64"/>
      <c r="C87" s="107" t="s">
        <v>144</v>
      </c>
      <c r="D87" s="110"/>
      <c r="E87" s="48">
        <v>196.54</v>
      </c>
    </row>
    <row r="88" spans="1:5" ht="80" customHeight="1" x14ac:dyDescent="0.2">
      <c r="A88" s="65"/>
      <c r="B88" s="66"/>
      <c r="C88" s="70" t="s">
        <v>143</v>
      </c>
      <c r="D88" s="109"/>
      <c r="E88" s="55">
        <v>426</v>
      </c>
    </row>
    <row r="89" spans="1:5" ht="19.5" customHeight="1" x14ac:dyDescent="0.2">
      <c r="A89" s="57" t="s">
        <v>95</v>
      </c>
      <c r="B89" s="57"/>
      <c r="C89" s="58"/>
      <c r="D89" s="58"/>
      <c r="E89" s="45">
        <f>C69</f>
        <v>1171</v>
      </c>
    </row>
    <row r="90" spans="1:5" ht="13.5" customHeight="1" x14ac:dyDescent="0.2">
      <c r="C90" s="59" t="s">
        <v>96</v>
      </c>
      <c r="D90" s="59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60" t="s">
        <v>109</v>
      </c>
      <c r="B95" s="60"/>
      <c r="C95" s="58"/>
      <c r="D95" s="58"/>
      <c r="E95" s="47">
        <f>E90</f>
        <v>44.940000000000509</v>
      </c>
    </row>
    <row r="96" spans="1:5" ht="31" customHeight="1" x14ac:dyDescent="0.2">
      <c r="A96" s="61" t="s">
        <v>67</v>
      </c>
      <c r="B96" s="62"/>
      <c r="C96" s="107" t="s">
        <v>167</v>
      </c>
      <c r="D96" s="108"/>
      <c r="E96" s="45">
        <v>250</v>
      </c>
    </row>
    <row r="97" spans="1:5" ht="71" customHeight="1" x14ac:dyDescent="0.2">
      <c r="A97" s="63"/>
      <c r="B97" s="64"/>
      <c r="C97" s="105" t="s">
        <v>168</v>
      </c>
      <c r="D97" s="106"/>
      <c r="E97" s="45">
        <v>339.9</v>
      </c>
    </row>
    <row r="98" spans="1:5" ht="48" customHeight="1" x14ac:dyDescent="0.2">
      <c r="A98" s="63"/>
      <c r="B98" s="64"/>
      <c r="C98" s="105" t="s">
        <v>164</v>
      </c>
      <c r="D98" s="106"/>
      <c r="E98" s="45">
        <v>384</v>
      </c>
    </row>
    <row r="99" spans="1:5" ht="20" customHeight="1" x14ac:dyDescent="0.2">
      <c r="A99" s="65"/>
      <c r="B99" s="66"/>
      <c r="C99" s="105" t="s">
        <v>166</v>
      </c>
      <c r="D99" s="106"/>
      <c r="E99" s="45">
        <v>136.63999999999999</v>
      </c>
    </row>
    <row r="100" spans="1:5" ht="13.5" customHeight="1" x14ac:dyDescent="0.2">
      <c r="A100" s="57" t="s">
        <v>95</v>
      </c>
      <c r="B100" s="57"/>
      <c r="C100" s="58"/>
      <c r="D100" s="58"/>
      <c r="E100" s="45">
        <f>C69</f>
        <v>1171</v>
      </c>
    </row>
    <row r="101" spans="1:5" ht="13.5" customHeight="1" x14ac:dyDescent="0.2">
      <c r="C101" s="59" t="s">
        <v>96</v>
      </c>
      <c r="D101" s="59"/>
      <c r="E101" s="47">
        <f>(E31+E95)-SUM(E96:E100)</f>
        <v>303.40000000000055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42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149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44.940000000000005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153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2"/>
      <c r="D19" s="11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158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151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165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160</v>
      </c>
      <c r="B69" s="60"/>
      <c r="C69" s="57"/>
      <c r="D69" s="57"/>
      <c r="E69" s="47">
        <f>'July 2026- September 2026'!E101</f>
        <v>303.40000000000055</v>
      </c>
    </row>
    <row r="70" spans="1:5" ht="48" customHeight="1" x14ac:dyDescent="0.2">
      <c r="A70" s="76" t="s">
        <v>67</v>
      </c>
      <c r="B70" s="76"/>
      <c r="C70" s="75" t="s">
        <v>170</v>
      </c>
      <c r="D70" s="75"/>
      <c r="E70" s="45">
        <v>350</v>
      </c>
    </row>
    <row r="71" spans="1:5" ht="47" customHeight="1" x14ac:dyDescent="0.2">
      <c r="A71" s="76"/>
      <c r="B71" s="76"/>
      <c r="C71" s="111" t="s">
        <v>162</v>
      </c>
      <c r="D71" s="74"/>
      <c r="E71" s="45">
        <v>0</v>
      </c>
    </row>
    <row r="72" spans="1:5" ht="23" customHeight="1" x14ac:dyDescent="0.2">
      <c r="A72" s="76"/>
      <c r="B72" s="76"/>
      <c r="C72" s="111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883.40000000000055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148</v>
      </c>
      <c r="B78" s="60"/>
      <c r="C78" s="58"/>
      <c r="D78" s="58"/>
      <c r="E78" s="47">
        <f>E74</f>
        <v>883.40000000000055</v>
      </c>
    </row>
    <row r="79" spans="1:5" ht="30" customHeight="1" x14ac:dyDescent="0.2">
      <c r="A79" s="61" t="s">
        <v>67</v>
      </c>
      <c r="B79" s="62"/>
      <c r="C79" s="107"/>
      <c r="D79" s="108"/>
      <c r="E79" s="48">
        <v>0</v>
      </c>
    </row>
    <row r="80" spans="1:5" ht="39" customHeight="1" x14ac:dyDescent="0.2">
      <c r="A80" s="63"/>
      <c r="B80" s="64"/>
      <c r="C80" s="75" t="s">
        <v>162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09"/>
      <c r="E81" s="48">
        <v>0</v>
      </c>
    </row>
    <row r="82" spans="1:5" ht="24" customHeight="1" x14ac:dyDescent="0.2">
      <c r="A82" s="63"/>
      <c r="B82" s="64"/>
      <c r="C82" s="107"/>
      <c r="D82" s="110"/>
      <c r="E82" s="48">
        <v>0</v>
      </c>
    </row>
    <row r="83" spans="1:5" ht="24" customHeight="1" x14ac:dyDescent="0.2">
      <c r="A83" s="65"/>
      <c r="B83" s="66"/>
      <c r="C83" s="70"/>
      <c r="D83" s="109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1555</v>
      </c>
    </row>
    <row r="85" spans="1:5" ht="13.5" customHeight="1" x14ac:dyDescent="0.2">
      <c r="C85" s="59" t="s">
        <v>96</v>
      </c>
      <c r="D85" s="59"/>
      <c r="E85" s="47">
        <f>(E20+E78)-SUM(E79:E84)</f>
        <v>1813.4000000000005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159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157</v>
      </c>
      <c r="B90" s="60"/>
      <c r="C90" s="58"/>
      <c r="D90" s="58"/>
      <c r="E90" s="47">
        <f>E85</f>
        <v>1813.4000000000005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162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1555</v>
      </c>
    </row>
    <row r="95" spans="1:5" ht="19" customHeight="1" x14ac:dyDescent="0.2">
      <c r="C95" s="59" t="s">
        <v>96</v>
      </c>
      <c r="D95" s="59"/>
      <c r="E95" s="47">
        <f>(E26+E90)-SUM(E91:E94)</f>
        <v>2743.4000000000005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2026-09-16T13:43:20Z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