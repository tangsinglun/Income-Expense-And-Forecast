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gsinglun/private-repository/Income And Expense Forecast/"/>
    </mc:Choice>
  </mc:AlternateContent>
  <xr:revisionPtr revIDLastSave="0" documentId="13_ncr:1_{CF1BE8D6-2315-834B-92D7-AC930D683BEC}" xr6:coauthVersionLast="47" xr6:coauthVersionMax="47" xr10:uidLastSave="{00000000-0000-0000-0000-000000000000}"/>
  <bookViews>
    <workbookView xWindow="0" yWindow="600" windowWidth="19960" windowHeight="12660" xr2:uid="{6AE57E8B-8FFC-40E8-899B-112AE5CB0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3" i="1"/>
  <c r="G5" i="1"/>
  <c r="G34" i="1"/>
  <c r="G27" i="1"/>
  <c r="G26" i="1"/>
  <c r="G23" i="1"/>
  <c r="G22" i="1"/>
  <c r="G46" i="1"/>
  <c r="G21" i="1"/>
  <c r="G20" i="1"/>
  <c r="G4" i="1" l="1"/>
  <c r="G6" i="1" s="1"/>
</calcChain>
</file>

<file path=xl/sharedStrings.xml><?xml version="1.0" encoding="utf-8"?>
<sst xmlns="http://schemas.openxmlformats.org/spreadsheetml/2006/main" count="45" uniqueCount="41">
  <si>
    <t>Budget Management</t>
  </si>
  <si>
    <t>Name:</t>
  </si>
  <si>
    <t>Tang Sing Lun Alan</t>
  </si>
  <si>
    <t>Fixed Expenses</t>
  </si>
  <si>
    <t>Family Expenses</t>
  </si>
  <si>
    <t>Miscellaneous Expenses</t>
  </si>
  <si>
    <t>Item</t>
  </si>
  <si>
    <t>House</t>
  </si>
  <si>
    <t>Assets:</t>
  </si>
  <si>
    <t>Debts</t>
  </si>
  <si>
    <t>Government</t>
  </si>
  <si>
    <t>Mother</t>
  </si>
  <si>
    <t>Banks (Credit Card / Mortgage)</t>
  </si>
  <si>
    <t>One cut off Expenses</t>
  </si>
  <si>
    <t>Grace Salary x 12</t>
  </si>
  <si>
    <t>Mother Salary x 12</t>
  </si>
  <si>
    <t>Per Year Expenses (Per Month Expenses Not Included):</t>
  </si>
  <si>
    <t>Per Month Expenses (not Include Children Academic):</t>
  </si>
  <si>
    <t>Food Expenses ($80 for Breakfast, $250 for lunch, $500 for dinner) per month</t>
  </si>
  <si>
    <t>House Renovation Works</t>
  </si>
  <si>
    <t>Travel abroad Expenses 3 trip ¬ 7 days (CNY, Summer Vacation, Easter, Christmas) ¬ $17500 for hotel, $25,000 for air ticket</t>
  </si>
  <si>
    <t>Domestic Worker Salary X 1</t>
  </si>
  <si>
    <t>Denza D9</t>
  </si>
  <si>
    <t>Domestic Worker One Time Cut Off Expenses x 1</t>
  </si>
  <si>
    <t>Children Expenses (Eg. Study At Yeu Chung For all the Academic Years) x 3
1. Kindergarten (K1–K3)
    ~ HKD $160,000 – $180,000 per year avg $170,000
2. Primary (Years 1–6)
    ~ HKD $180,000 – $210,000 per year avg $195,000
3. Secondary (Years 7–13)
    ~ HKD $210,000 – $240,000 per year avg $225,000
4. Application fee: ~HKD $2,000
5. Registration fee: ~HKD $20,000–$30,000 (one‑time) avg $25,000
6. Annual capital levy: ~HKD $30,000–$40,000 avg $35,000
7. School bus: ~HKD $15,000–$20,000 per year avg $17,500
8. Uniforms &amp; books: ~HKD $5,000–$8,000 per year avg $6500
9. Refundable debenture
    ~ HKD $150,000 – $300,000 avg $225,000</t>
  </si>
  <si>
    <t>Children Expenses University (Tuition Fees $47,000 per year X 4 years)</t>
  </si>
  <si>
    <t>Specialist Clinics (2 times per year)
~ HKD $800–$1,200 consultation avg HKD $1000
Dentists (2 times per year)
~ Checkup $150–$350 (can be up to $800) avg HKD $250
~ Cleaning $450–$1,000 avg HKD $725
~ Extraction (non‑wisdom) $500–$1,500 (can be $1,800–$2,500+) avg HKD $1000
~ Fillings Small composite $600–$1,000 avg HKD $800</t>
  </si>
  <si>
    <t>Othodontics x 3 
~ Metal braces $25,000–$40,000 avg 32,500</t>
  </si>
  <si>
    <t>Electricity AC almost all day (summer) HKD $8,000 – $12,000+ per month avg $10,000</t>
  </si>
  <si>
    <t>Town Gases (per month)
~ Very heavy cooking (big meals, long simmering): HKD $180–$260/month avg $220</t>
  </si>
  <si>
    <t>Water Supplies (per month)
~ HKD $160–$260 per month avg HKD $210</t>
  </si>
  <si>
    <t>Broadband And Fixed Line Telephone (per month)
~ for 1000M–2500M broadband + fixed line HKD $168–$238/month avg HKD $203</t>
  </si>
  <si>
    <t>Rates and Land Rent Taxes (per year) 
~ HKD $180,000 – $260,000 per year avg HKD $220,000</t>
  </si>
  <si>
    <t xml:space="preserve">First Registration Tax (FRT) — One‑time when buying the car
~ Denza D9 HKD $0 – $60,000  </t>
  </si>
  <si>
    <t xml:space="preserve">Denza D9
~ HKD $5,119 per year (EV or petrol — same fee)
~Insurance $8,000–$14,000 avg $11000
~Maintenance $1,500–$2,500 avg $2000
~ Tyres (amortized) $2,000–$3,000 avg $2500
</t>
  </si>
  <si>
    <t>Overall Assets :</t>
  </si>
  <si>
    <t>Overall Expenses:</t>
  </si>
  <si>
    <t>S-Class Saloon Long S500L</t>
  </si>
  <si>
    <t>S-Class Saloon Long
~ HKD $11,329 per year 
~Insurance $12,000–$40,000 avg $26000
~Maintenance $8,000–$15,000 avg $11,500
~ Tyres (amortized) $4,000–$8,000 avg $6000</t>
  </si>
  <si>
    <t>First Registration Tax (FRT) — One‑time when buying the car
~ S-Class Saloon Long HKD $0
FRT is already included in the showroom price, so you don’t pay extra at purchase.</t>
  </si>
  <si>
    <t xml:space="preserve">Others not specify per month 
~ Denzer D9 Highway (80 km/day) ~HKD $18/day
~ S-Class Saloon Long ~HKD $115/day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</si>
</sst>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3C09]#,##0.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1676-8615-4F40-9CAB-FCD773F668D5}">
  <dimension ref="A1:K56"/>
  <sheetViews>
    <sheetView tabSelected="1" workbookViewId="0">
      <selection activeCell="G28" sqref="G28"/>
    </sheetView>
  </sheetViews>
  <sheetFormatPr baseColWidth="10" defaultColWidth="8.6640625" defaultRowHeight="16" x14ac:dyDescent="0.2"/>
  <cols>
    <col min="1" max="5" width="8.6640625" style="8"/>
    <col min="6" max="6" width="17.83203125" style="8" customWidth="1"/>
    <col min="7" max="7" width="32" style="8" customWidth="1"/>
    <col min="8" max="8" width="8.6640625" style="8"/>
    <col min="9" max="9" width="16" style="8" bestFit="1" customWidth="1"/>
    <col min="10" max="16384" width="8.6640625" style="8"/>
  </cols>
  <sheetData>
    <row r="1" spans="1:9" x14ac:dyDescent="0.2">
      <c r="A1" s="20" t="s">
        <v>0</v>
      </c>
      <c r="B1" s="20"/>
      <c r="C1" s="20"/>
      <c r="D1" s="20"/>
      <c r="E1" s="20"/>
      <c r="F1" s="20"/>
      <c r="G1" s="20"/>
    </row>
    <row r="2" spans="1:9" ht="17" x14ac:dyDescent="0.2">
      <c r="A2" s="1" t="s">
        <v>1</v>
      </c>
      <c r="B2" s="12" t="s">
        <v>2</v>
      </c>
      <c r="C2" s="13"/>
      <c r="D2" s="13"/>
      <c r="E2" s="14"/>
      <c r="F2" s="1" t="s">
        <v>8</v>
      </c>
      <c r="G2" s="3">
        <v>1000000000</v>
      </c>
    </row>
    <row r="3" spans="1:9" ht="39.5" customHeight="1" x14ac:dyDescent="0.2">
      <c r="A3" s="24" t="s">
        <v>35</v>
      </c>
      <c r="B3" s="24"/>
      <c r="C3" s="24"/>
      <c r="D3" s="24"/>
      <c r="E3" s="24"/>
      <c r="F3" s="24"/>
      <c r="G3" s="3">
        <f>G2-SUM(G12:G15)-SUM(G54:G56)-SUM(G46:G48)-SUM(G22:G23)-G27</f>
        <v>731414745.45000005</v>
      </c>
    </row>
    <row r="4" spans="1:9" x14ac:dyDescent="0.2">
      <c r="A4" s="24" t="s">
        <v>17</v>
      </c>
      <c r="B4" s="24"/>
      <c r="C4" s="24"/>
      <c r="D4" s="24"/>
      <c r="E4" s="24"/>
      <c r="F4" s="24"/>
      <c r="G4" s="3">
        <f>G20/12+G21/12+G34+SUM(G35:G38)+G24+G26/12+G28</f>
        <v>163732.5</v>
      </c>
      <c r="I4" s="9"/>
    </row>
    <row r="5" spans="1:9" x14ac:dyDescent="0.2">
      <c r="A5" s="24" t="s">
        <v>16</v>
      </c>
      <c r="B5" s="24"/>
      <c r="C5" s="24"/>
      <c r="D5" s="24"/>
      <c r="E5" s="24"/>
      <c r="F5" s="24"/>
      <c r="G5" s="3">
        <f>SUM(G39:G41)+G25</f>
        <v>422948</v>
      </c>
      <c r="I5" s="4"/>
    </row>
    <row r="6" spans="1:9" x14ac:dyDescent="0.2">
      <c r="A6" s="15" t="s">
        <v>36</v>
      </c>
      <c r="B6" s="16"/>
      <c r="C6" s="16"/>
      <c r="D6" s="16"/>
      <c r="E6" s="16"/>
      <c r="F6" s="17"/>
      <c r="G6" s="3">
        <f>G4*12 + G5</f>
        <v>2387738</v>
      </c>
      <c r="I6" s="4"/>
    </row>
    <row r="7" spans="1:9" x14ac:dyDescent="0.2">
      <c r="A7" s="4"/>
      <c r="B7" s="4"/>
      <c r="C7" s="4"/>
      <c r="D7" s="4"/>
      <c r="E7" s="4"/>
      <c r="F7" s="4"/>
      <c r="G7" s="4"/>
      <c r="I7" s="4"/>
    </row>
    <row r="9" spans="1:9" x14ac:dyDescent="0.2">
      <c r="A9" s="21" t="s">
        <v>3</v>
      </c>
      <c r="B9" s="21"/>
      <c r="C9" s="21"/>
      <c r="D9" s="21"/>
      <c r="E9" s="21"/>
      <c r="F9" s="21"/>
      <c r="G9" s="21"/>
    </row>
    <row r="10" spans="1:9" x14ac:dyDescent="0.2">
      <c r="A10" s="22"/>
      <c r="B10" s="22"/>
      <c r="C10" s="22"/>
      <c r="D10" s="22"/>
      <c r="E10" s="22"/>
      <c r="F10" s="22"/>
      <c r="G10" s="22"/>
    </row>
    <row r="11" spans="1:9" x14ac:dyDescent="0.2">
      <c r="A11" s="23" t="s">
        <v>6</v>
      </c>
      <c r="B11" s="23"/>
      <c r="C11" s="23"/>
      <c r="D11" s="23"/>
      <c r="E11" s="23"/>
      <c r="F11" s="23"/>
      <c r="G11" s="2"/>
    </row>
    <row r="12" spans="1:9" x14ac:dyDescent="0.2">
      <c r="A12" s="18" t="s">
        <v>7</v>
      </c>
      <c r="B12" s="18"/>
      <c r="C12" s="18"/>
      <c r="D12" s="18"/>
      <c r="E12" s="18"/>
      <c r="F12" s="18"/>
      <c r="G12" s="3">
        <v>250000000</v>
      </c>
    </row>
    <row r="13" spans="1:9" x14ac:dyDescent="0.2">
      <c r="A13" s="18" t="s">
        <v>22</v>
      </c>
      <c r="B13" s="18"/>
      <c r="C13" s="18"/>
      <c r="D13" s="18"/>
      <c r="E13" s="18"/>
      <c r="F13" s="18"/>
      <c r="G13" s="3">
        <v>825000</v>
      </c>
    </row>
    <row r="14" spans="1:9" x14ac:dyDescent="0.2">
      <c r="A14" s="12" t="s">
        <v>37</v>
      </c>
      <c r="B14" s="13"/>
      <c r="C14" s="13"/>
      <c r="D14" s="13"/>
      <c r="E14" s="13"/>
      <c r="F14" s="14"/>
      <c r="G14" s="3">
        <v>1780000</v>
      </c>
    </row>
    <row r="15" spans="1:9" x14ac:dyDescent="0.2">
      <c r="A15" s="18" t="s">
        <v>19</v>
      </c>
      <c r="B15" s="18"/>
      <c r="C15" s="18"/>
      <c r="D15" s="18"/>
      <c r="E15" s="18"/>
      <c r="F15" s="18"/>
      <c r="G15" s="3">
        <v>12000000</v>
      </c>
    </row>
    <row r="17" spans="1:11" x14ac:dyDescent="0.2">
      <c r="A17" s="22" t="s">
        <v>4</v>
      </c>
      <c r="B17" s="22"/>
      <c r="C17" s="22"/>
      <c r="D17" s="22"/>
      <c r="E17" s="22"/>
      <c r="F17" s="22"/>
      <c r="G17" s="22"/>
    </row>
    <row r="18" spans="1:11" x14ac:dyDescent="0.2">
      <c r="A18" s="22"/>
      <c r="B18" s="22"/>
      <c r="C18" s="22"/>
      <c r="D18" s="22"/>
      <c r="E18" s="22"/>
      <c r="F18" s="22"/>
      <c r="G18" s="22"/>
    </row>
    <row r="19" spans="1:11" x14ac:dyDescent="0.2">
      <c r="A19" s="23" t="s">
        <v>6</v>
      </c>
      <c r="B19" s="23"/>
      <c r="C19" s="23"/>
      <c r="D19" s="23"/>
      <c r="E19" s="23"/>
      <c r="F19" s="23"/>
      <c r="G19" s="5"/>
    </row>
    <row r="20" spans="1:11" x14ac:dyDescent="0.2">
      <c r="A20" s="18" t="s">
        <v>15</v>
      </c>
      <c r="B20" s="18"/>
      <c r="C20" s="18"/>
      <c r="D20" s="18"/>
      <c r="E20" s="18"/>
      <c r="F20" s="18"/>
      <c r="G20" s="3">
        <f>25000*12</f>
        <v>300000</v>
      </c>
    </row>
    <row r="21" spans="1:11" x14ac:dyDescent="0.2">
      <c r="A21" s="18" t="s">
        <v>14</v>
      </c>
      <c r="B21" s="18"/>
      <c r="C21" s="18"/>
      <c r="D21" s="18"/>
      <c r="E21" s="18"/>
      <c r="F21" s="18"/>
      <c r="G21" s="3">
        <f>100000*12</f>
        <v>1200000</v>
      </c>
    </row>
    <row r="22" spans="1:11" ht="283.75" customHeight="1" x14ac:dyDescent="0.2">
      <c r="A22" s="18" t="s">
        <v>24</v>
      </c>
      <c r="B22" s="18"/>
      <c r="C22" s="18"/>
      <c r="D22" s="18"/>
      <c r="E22" s="18"/>
      <c r="F22" s="18"/>
      <c r="G22" s="3">
        <f>901000*3</f>
        <v>2703000</v>
      </c>
      <c r="K22" s="10"/>
    </row>
    <row r="23" spans="1:11" ht="31" customHeight="1" x14ac:dyDescent="0.2">
      <c r="A23" s="18" t="s">
        <v>25</v>
      </c>
      <c r="B23" s="18"/>
      <c r="C23" s="18"/>
      <c r="D23" s="18"/>
      <c r="E23" s="18"/>
      <c r="F23" s="18"/>
      <c r="G23" s="3">
        <f>188000 * 3</f>
        <v>564000</v>
      </c>
      <c r="K23" s="10"/>
    </row>
    <row r="24" spans="1:11" ht="34.5" customHeight="1" x14ac:dyDescent="0.2">
      <c r="A24" s="18" t="s">
        <v>18</v>
      </c>
      <c r="B24" s="18"/>
      <c r="C24" s="18"/>
      <c r="D24" s="18"/>
      <c r="E24" s="18"/>
      <c r="F24" s="18"/>
      <c r="G24" s="3">
        <v>25000</v>
      </c>
    </row>
    <row r="25" spans="1:11" ht="42" customHeight="1" x14ac:dyDescent="0.2">
      <c r="A25" s="18" t="s">
        <v>20</v>
      </c>
      <c r="B25" s="18"/>
      <c r="C25" s="18"/>
      <c r="D25" s="18"/>
      <c r="E25" s="18"/>
      <c r="F25" s="18"/>
      <c r="G25" s="3">
        <v>127500</v>
      </c>
    </row>
    <row r="26" spans="1:11" ht="142.25" customHeight="1" x14ac:dyDescent="0.2">
      <c r="A26" s="19" t="s">
        <v>26</v>
      </c>
      <c r="B26" s="19"/>
      <c r="C26" s="19"/>
      <c r="D26" s="19"/>
      <c r="E26" s="19"/>
      <c r="F26" s="19"/>
      <c r="G26" s="3">
        <f>7550*3</f>
        <v>22650</v>
      </c>
    </row>
    <row r="27" spans="1:11" ht="48.5" customHeight="1" x14ac:dyDescent="0.2">
      <c r="A27" s="18" t="s">
        <v>27</v>
      </c>
      <c r="B27" s="18"/>
      <c r="C27" s="18"/>
      <c r="D27" s="18"/>
      <c r="E27" s="18"/>
      <c r="F27" s="18"/>
      <c r="G27" s="3">
        <f>32500*3</f>
        <v>97500</v>
      </c>
    </row>
    <row r="28" spans="1:11" ht="79" customHeight="1" x14ac:dyDescent="0.2">
      <c r="A28" s="18" t="s">
        <v>40</v>
      </c>
      <c r="B28" s="18"/>
      <c r="C28" s="18"/>
      <c r="D28" s="18"/>
      <c r="E28" s="18"/>
      <c r="F28" s="18"/>
      <c r="G28" s="3">
        <f>(18 * 30) + (115 * 30)</f>
        <v>3990</v>
      </c>
    </row>
    <row r="29" spans="1:11" x14ac:dyDescent="0.2">
      <c r="A29" s="11"/>
      <c r="B29" s="11"/>
      <c r="C29" s="11"/>
      <c r="D29" s="11"/>
      <c r="E29" s="11"/>
      <c r="F29" s="11"/>
      <c r="G29" s="4"/>
    </row>
    <row r="31" spans="1:11" x14ac:dyDescent="0.2">
      <c r="A31" s="22" t="s">
        <v>5</v>
      </c>
      <c r="B31" s="22"/>
      <c r="C31" s="22"/>
      <c r="D31" s="22"/>
      <c r="E31" s="22"/>
      <c r="F31" s="22"/>
      <c r="G31" s="22"/>
    </row>
    <row r="32" spans="1:11" x14ac:dyDescent="0.2">
      <c r="A32" s="22"/>
      <c r="B32" s="22"/>
      <c r="C32" s="22"/>
      <c r="D32" s="22"/>
      <c r="E32" s="22"/>
      <c r="F32" s="22"/>
      <c r="G32" s="22"/>
    </row>
    <row r="33" spans="1:7" x14ac:dyDescent="0.2">
      <c r="A33" s="23" t="s">
        <v>6</v>
      </c>
      <c r="B33" s="23"/>
      <c r="C33" s="23"/>
      <c r="D33" s="23"/>
      <c r="E33" s="23"/>
      <c r="F33" s="23"/>
      <c r="G33" s="5"/>
    </row>
    <row r="34" spans="1:7" x14ac:dyDescent="0.2">
      <c r="A34" s="18" t="s">
        <v>21</v>
      </c>
      <c r="B34" s="18"/>
      <c r="C34" s="18"/>
      <c r="D34" s="18"/>
      <c r="E34" s="18"/>
      <c r="F34" s="18"/>
      <c r="G34" s="6">
        <f>5722</f>
        <v>5722</v>
      </c>
    </row>
    <row r="35" spans="1:7" ht="59.5" customHeight="1" x14ac:dyDescent="0.2">
      <c r="A35" s="18" t="s">
        <v>28</v>
      </c>
      <c r="B35" s="18"/>
      <c r="C35" s="18"/>
      <c r="D35" s="18"/>
      <c r="E35" s="18"/>
      <c r="F35" s="18"/>
      <c r="G35" s="6">
        <v>1500</v>
      </c>
    </row>
    <row r="36" spans="1:7" ht="55" customHeight="1" x14ac:dyDescent="0.2">
      <c r="A36" s="18" t="s">
        <v>29</v>
      </c>
      <c r="B36" s="18"/>
      <c r="C36" s="18"/>
      <c r="D36" s="18"/>
      <c r="E36" s="18"/>
      <c r="F36" s="18"/>
      <c r="G36" s="6">
        <v>220</v>
      </c>
    </row>
    <row r="37" spans="1:7" ht="42" customHeight="1" x14ac:dyDescent="0.2">
      <c r="A37" s="18" t="s">
        <v>30</v>
      </c>
      <c r="B37" s="18"/>
      <c r="C37" s="18"/>
      <c r="D37" s="18"/>
      <c r="E37" s="18"/>
      <c r="F37" s="18"/>
      <c r="G37" s="6">
        <v>210</v>
      </c>
    </row>
    <row r="38" spans="1:7" ht="58.75" customHeight="1" x14ac:dyDescent="0.2">
      <c r="A38" s="12" t="s">
        <v>31</v>
      </c>
      <c r="B38" s="13"/>
      <c r="C38" s="13"/>
      <c r="D38" s="13"/>
      <c r="E38" s="13"/>
      <c r="F38" s="14"/>
      <c r="G38" s="6">
        <v>203</v>
      </c>
    </row>
    <row r="39" spans="1:7" ht="46.25" customHeight="1" x14ac:dyDescent="0.2">
      <c r="A39" s="18" t="s">
        <v>32</v>
      </c>
      <c r="B39" s="18"/>
      <c r="C39" s="18"/>
      <c r="D39" s="18"/>
      <c r="E39" s="18"/>
      <c r="F39" s="18"/>
      <c r="G39" s="6">
        <v>220000</v>
      </c>
    </row>
    <row r="40" spans="1:7" ht="96" customHeight="1" x14ac:dyDescent="0.2">
      <c r="A40" s="12" t="s">
        <v>38</v>
      </c>
      <c r="B40" s="13"/>
      <c r="C40" s="13"/>
      <c r="D40" s="13"/>
      <c r="E40" s="13"/>
      <c r="F40" s="14"/>
      <c r="G40" s="6">
        <v>54829</v>
      </c>
    </row>
    <row r="41" spans="1:7" ht="92.5" customHeight="1" x14ac:dyDescent="0.2">
      <c r="A41" s="18" t="s">
        <v>34</v>
      </c>
      <c r="B41" s="18"/>
      <c r="C41" s="18"/>
      <c r="D41" s="18"/>
      <c r="E41" s="18"/>
      <c r="F41" s="18"/>
      <c r="G41" s="6">
        <v>20619</v>
      </c>
    </row>
    <row r="42" spans="1:7" x14ac:dyDescent="0.2">
      <c r="A42" s="11"/>
      <c r="B42" s="11"/>
      <c r="C42" s="11"/>
      <c r="D42" s="11"/>
      <c r="E42" s="11"/>
      <c r="F42" s="11"/>
      <c r="G42" s="4"/>
    </row>
    <row r="43" spans="1:7" x14ac:dyDescent="0.2">
      <c r="A43" s="22" t="s">
        <v>13</v>
      </c>
      <c r="B43" s="22"/>
      <c r="C43" s="22"/>
      <c r="D43" s="22"/>
      <c r="E43" s="22"/>
      <c r="F43" s="22"/>
      <c r="G43" s="22"/>
    </row>
    <row r="44" spans="1:7" x14ac:dyDescent="0.2">
      <c r="A44" s="22"/>
      <c r="B44" s="22"/>
      <c r="C44" s="22"/>
      <c r="D44" s="22"/>
      <c r="E44" s="22"/>
      <c r="F44" s="22"/>
      <c r="G44" s="22"/>
    </row>
    <row r="45" spans="1:7" x14ac:dyDescent="0.2">
      <c r="A45" s="25" t="s">
        <v>6</v>
      </c>
      <c r="B45" s="26"/>
      <c r="C45" s="26"/>
      <c r="D45" s="26"/>
      <c r="E45" s="26"/>
      <c r="F45" s="27"/>
      <c r="G45" s="7"/>
    </row>
    <row r="46" spans="1:7" x14ac:dyDescent="0.2">
      <c r="A46" s="12" t="s">
        <v>23</v>
      </c>
      <c r="B46" s="13"/>
      <c r="C46" s="13"/>
      <c r="D46" s="13"/>
      <c r="E46" s="13"/>
      <c r="F46" s="14"/>
      <c r="G46" s="6">
        <f>19800</f>
        <v>19800</v>
      </c>
    </row>
    <row r="47" spans="1:7" ht="33" customHeight="1" x14ac:dyDescent="0.2">
      <c r="A47" s="12" t="s">
        <v>33</v>
      </c>
      <c r="B47" s="13"/>
      <c r="C47" s="13"/>
      <c r="D47" s="13"/>
      <c r="E47" s="13"/>
      <c r="F47" s="14"/>
      <c r="G47" s="6">
        <v>60000</v>
      </c>
    </row>
    <row r="48" spans="1:7" ht="78" customHeight="1" x14ac:dyDescent="0.2">
      <c r="A48" s="18" t="s">
        <v>39</v>
      </c>
      <c r="B48" s="18"/>
      <c r="C48" s="18"/>
      <c r="D48" s="18"/>
      <c r="E48" s="18"/>
      <c r="F48" s="18"/>
      <c r="G48" s="6">
        <v>0</v>
      </c>
    </row>
    <row r="51" spans="1:7" x14ac:dyDescent="0.2">
      <c r="A51" s="22" t="s">
        <v>9</v>
      </c>
      <c r="B51" s="22"/>
      <c r="C51" s="22"/>
      <c r="D51" s="22"/>
      <c r="E51" s="22"/>
      <c r="F51" s="22"/>
      <c r="G51" s="22"/>
    </row>
    <row r="52" spans="1:7" x14ac:dyDescent="0.2">
      <c r="A52" s="22"/>
      <c r="B52" s="22"/>
      <c r="C52" s="22"/>
      <c r="D52" s="22"/>
      <c r="E52" s="22"/>
      <c r="F52" s="22"/>
      <c r="G52" s="22"/>
    </row>
    <row r="53" spans="1:7" x14ac:dyDescent="0.2">
      <c r="A53" s="23" t="s">
        <v>6</v>
      </c>
      <c r="B53" s="23"/>
      <c r="C53" s="23"/>
      <c r="D53" s="23"/>
      <c r="E53" s="23"/>
      <c r="F53" s="23"/>
      <c r="G53" s="2"/>
    </row>
    <row r="54" spans="1:7" x14ac:dyDescent="0.2">
      <c r="A54" s="18" t="s">
        <v>10</v>
      </c>
      <c r="B54" s="18"/>
      <c r="C54" s="18"/>
      <c r="D54" s="18"/>
      <c r="E54" s="18"/>
      <c r="F54" s="18"/>
      <c r="G54" s="3">
        <v>527824.55000000005</v>
      </c>
    </row>
    <row r="55" spans="1:7" x14ac:dyDescent="0.2">
      <c r="A55" s="18" t="s">
        <v>11</v>
      </c>
      <c r="B55" s="18"/>
      <c r="C55" s="18"/>
      <c r="D55" s="18"/>
      <c r="E55" s="18"/>
      <c r="F55" s="18"/>
      <c r="G55" s="3">
        <v>8130</v>
      </c>
    </row>
    <row r="56" spans="1:7" x14ac:dyDescent="0.2">
      <c r="A56" s="18" t="s">
        <v>12</v>
      </c>
      <c r="B56" s="18"/>
      <c r="C56" s="18"/>
      <c r="D56" s="18"/>
      <c r="E56" s="18"/>
      <c r="F56" s="18"/>
      <c r="G56" s="3"/>
    </row>
  </sheetData>
  <mergeCells count="43">
    <mergeCell ref="A39:F39"/>
    <mergeCell ref="A33:F33"/>
    <mergeCell ref="A34:F34"/>
    <mergeCell ref="A35:F35"/>
    <mergeCell ref="A36:F36"/>
    <mergeCell ref="A37:F37"/>
    <mergeCell ref="A51:G52"/>
    <mergeCell ref="A53:F53"/>
    <mergeCell ref="A54:F54"/>
    <mergeCell ref="A55:F55"/>
    <mergeCell ref="A56:F56"/>
    <mergeCell ref="A1:G1"/>
    <mergeCell ref="A9:G10"/>
    <mergeCell ref="A17:G18"/>
    <mergeCell ref="A31:G32"/>
    <mergeCell ref="A11:F11"/>
    <mergeCell ref="A12:F12"/>
    <mergeCell ref="A13:F13"/>
    <mergeCell ref="A24:F24"/>
    <mergeCell ref="A19:F19"/>
    <mergeCell ref="A20:F20"/>
    <mergeCell ref="A21:F21"/>
    <mergeCell ref="A22:F22"/>
    <mergeCell ref="B2:E2"/>
    <mergeCell ref="A3:F3"/>
    <mergeCell ref="A4:F4"/>
    <mergeCell ref="A5:F5"/>
    <mergeCell ref="A47:F47"/>
    <mergeCell ref="A6:F6"/>
    <mergeCell ref="A14:F14"/>
    <mergeCell ref="A40:F40"/>
    <mergeCell ref="A48:F48"/>
    <mergeCell ref="A38:F38"/>
    <mergeCell ref="A25:F25"/>
    <mergeCell ref="A26:F26"/>
    <mergeCell ref="A27:F27"/>
    <mergeCell ref="A15:F15"/>
    <mergeCell ref="A28:F28"/>
    <mergeCell ref="A23:F23"/>
    <mergeCell ref="A45:F45"/>
    <mergeCell ref="A41:F41"/>
    <mergeCell ref="A43:G44"/>
    <mergeCell ref="A46:F4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 Lun Alan Tang</dc:creator>
  <cp:lastModifiedBy>Sing Lun Alan Tang</cp:lastModifiedBy>
  <dcterms:created xsi:type="dcterms:W3CDTF">2025-07-24T05:59:52Z</dcterms:created>
  <dcterms:modified xsi:type="dcterms:W3CDTF">2026-08-13T01:07:48Z</dcterms:modified>
</cp:coreProperties>
</file>